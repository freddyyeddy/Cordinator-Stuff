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p365-my.sharepoint.com/personal/samuel_bordelon_bp_com/Documents/Desktop/Testing/"/>
    </mc:Choice>
  </mc:AlternateContent>
  <xr:revisionPtr revIDLastSave="0" documentId="10_ncr:80000_{A8350FD9-1E15-4510-B825-9AF69AF46A71}" xr6:coauthVersionLast="36" xr6:coauthVersionMax="36" xr10:uidLastSave="{00000000-0000-0000-0000-000000000000}"/>
  <bookViews>
    <workbookView xWindow="0" yWindow="0" windowWidth="19200" windowHeight="6585" activeTab="1" xr2:uid="{00000000-000D-0000-FFFF-FFFF00000000}"/>
  </bookViews>
  <sheets>
    <sheet name="Flex" sheetId="2" r:id="rId1"/>
    <sheet name="Pipe" sheetId="6" r:id="rId2"/>
  </sheets>
  <definedNames>
    <definedName name="ExternalData_1" localSheetId="0" hidden="1">Flex!$A$1:$AV$99</definedName>
    <definedName name="ExternalData_2" localSheetId="1" hidden="1">Pipe!$A$1:$AU$160</definedName>
    <definedName name="Pipe">#REF!</definedName>
    <definedName name="_xlnm.Print_Area" localSheetId="0">Flex!$A$1:$AV$99</definedName>
    <definedName name="_xlnm.Print_Area" localSheetId="1">Pipe!$A$1:$AU$160</definedName>
  </definedNames>
  <calcPr calcId="191029"/>
  <webPublishing vml="1" allowPng="1" targetScreenSize="1024x768" codePage="125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U2" i="6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X2" i="6"/>
  <c r="X3" i="6"/>
  <c r="X4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X38" i="6"/>
  <c r="X39" i="6"/>
  <c r="X40" i="6"/>
  <c r="X41" i="6"/>
  <c r="X42" i="6"/>
  <c r="X43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X57" i="6"/>
  <c r="X58" i="6"/>
  <c r="X59" i="6"/>
  <c r="X60" i="6"/>
  <c r="X61" i="6"/>
  <c r="X62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X76" i="6"/>
  <c r="X77" i="6"/>
  <c r="X78" i="6"/>
  <c r="X79" i="6"/>
  <c r="X80" i="6"/>
  <c r="X81" i="6"/>
  <c r="X82" i="6"/>
  <c r="X83" i="6"/>
  <c r="X84" i="6"/>
  <c r="X85" i="6"/>
  <c r="X86" i="6"/>
  <c r="X87" i="6"/>
  <c r="X88" i="6"/>
  <c r="X89" i="6"/>
  <c r="X90" i="6"/>
  <c r="X91" i="6"/>
  <c r="X92" i="6"/>
  <c r="X93" i="6"/>
  <c r="X94" i="6"/>
  <c r="X95" i="6"/>
  <c r="X96" i="6"/>
  <c r="X97" i="6"/>
  <c r="X98" i="6"/>
  <c r="X99" i="6"/>
  <c r="X100" i="6"/>
  <c r="X101" i="6"/>
  <c r="X102" i="6"/>
  <c r="X103" i="6"/>
  <c r="X104" i="6"/>
  <c r="X105" i="6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20" i="6"/>
  <c r="X121" i="6"/>
  <c r="X122" i="6"/>
  <c r="X123" i="6"/>
  <c r="X124" i="6"/>
  <c r="X125" i="6"/>
  <c r="X126" i="6"/>
  <c r="X127" i="6"/>
  <c r="X128" i="6"/>
  <c r="X129" i="6"/>
  <c r="X130" i="6"/>
  <c r="X131" i="6"/>
  <c r="X132" i="6"/>
  <c r="X133" i="6"/>
  <c r="X134" i="6"/>
  <c r="X135" i="6"/>
  <c r="X136" i="6"/>
  <c r="X137" i="6"/>
  <c r="X138" i="6"/>
  <c r="X139" i="6"/>
  <c r="X140" i="6"/>
  <c r="X141" i="6"/>
  <c r="X142" i="6"/>
  <c r="X143" i="6"/>
  <c r="X144" i="6"/>
  <c r="X145" i="6"/>
  <c r="X146" i="6"/>
  <c r="X147" i="6"/>
  <c r="X148" i="6"/>
  <c r="X149" i="6"/>
  <c r="X150" i="6"/>
  <c r="X151" i="6"/>
  <c r="X152" i="6"/>
  <c r="X153" i="6"/>
  <c r="X154" i="6"/>
  <c r="X155" i="6"/>
  <c r="X156" i="6"/>
  <c r="X157" i="6"/>
  <c r="X158" i="6"/>
  <c r="X159" i="6"/>
  <c r="X160" i="6"/>
  <c r="AA2" i="6"/>
  <c r="AA3" i="6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D2" i="6"/>
  <c r="AD3" i="6"/>
  <c r="AD4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2" i="6"/>
  <c r="AD73" i="6"/>
  <c r="AD74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/>
  <c r="AD125" i="6"/>
  <c r="AD126" i="6"/>
  <c r="AD127" i="6"/>
  <c r="AD128" i="6"/>
  <c r="AD129" i="6"/>
  <c r="AD130" i="6"/>
  <c r="AD131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G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J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Y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E2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H2" i="2"/>
  <c r="AH3" i="2"/>
  <c r="AH4" i="2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K2" i="2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D185" i="2" l="1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- Flex" description="Connection to the 'Flex' query in the workbook." type="5" refreshedVersion="0" background="1">
    <dbPr connection="Provider=Microsoft.Mashup.OleDb.1;Data Source=$Workbook$;Location=Flex;Extended Properties=&quot;&quot;" command="SELECT * FROM [Flex]"/>
  </connection>
  <connection id="2" xr16:uid="{00000000-0015-0000-FFFF-FFFF01000000}" name="Query - Flex Extended" description="Connection to the 'Flex Extended' query in the workbook." type="5" refreshedVersion="0" background="1">
    <dbPr connection="Provider=Microsoft.Mashup.OleDb.1;Data Source=$Workbook$;Location=&quot;Flex Extended&quot;;Extended Properties=&quot;&quot;" command="SELECT * FROM [Flex Extended]"/>
  </connection>
  <connection id="3" xr16:uid="{00000000-0015-0000-FFFF-FFFF02000000}" keepAlive="1" interval="90" name="Query - Flex Main" description="Connection to the 'Flex Main' query in the workbook." type="5" refreshedVersion="6" background="1" refreshOnLoad="1" saveData="1">
    <dbPr connection="Provider=Microsoft.Mashup.OleDb.1;Data Source=$Workbook$;Location=Flex Main;Extended Properties=&quot;&quot;" command="SELECT * FROM [Flex Main]"/>
  </connection>
  <connection id="4" xr16:uid="{715B12A8-1BE0-47D0-B108-FD625633320D}" keepAlive="1" name="Query - Pipe" description="Connection to the 'Pipe' query in the workbook." type="5" refreshedVersion="0" background="1">
    <dbPr connection="Provider=Microsoft.Mashup.OleDb.1;Data Source=$Workbook$;Location=Pipe;Extended Properties=&quot;&quot;" command="SELECT * FROM [Pipe]"/>
  </connection>
  <connection id="5" xr16:uid="{0A8B6C56-4AC4-48B0-8A33-879BFE177B1B}" keepAlive="1" name="Query - Pipe Extended" description="Connection to the 'Pipe Extended' query in the workbook." type="5" refreshedVersion="0" background="1">
    <dbPr connection="Provider=Microsoft.Mashup.OleDb.1;Data Source=$Workbook$;Location=&quot;Pipe Extended&quot;;Extended Properties=&quot;&quot;" command="SELECT * FROM [Pipe Extended]"/>
  </connection>
  <connection id="6" xr16:uid="{D3D82E35-5164-4C4B-B3BC-82C84C7FC07A}" odcFile="C:\Users\bos0z2\OneDrive - BP\Documents\My Data Sources\Query - Pipe Main.odc" keepAlive="1" interval="90" name="Query - Pipe Main" description="Connection to the 'Pipe Main' query in the workbook." type="5" refreshedVersion="6" background="1" saveData="1">
    <dbPr connection="Provider=Microsoft.Mashup.OleDb.1;Data Source=$Workbook$;Location=Pipe Main;Extended Properties=&quot;&quot;" command="SELECT * FROM [Pipe Main]"/>
  </connection>
</connections>
</file>

<file path=xl/sharedStrings.xml><?xml version="1.0" encoding="utf-8"?>
<sst xmlns="http://schemas.openxmlformats.org/spreadsheetml/2006/main" count="5906" uniqueCount="1080">
  <si>
    <t>Parent WO</t>
  </si>
  <si>
    <t>Work Order Number</t>
  </si>
  <si>
    <t>Work Order Link</t>
  </si>
  <si>
    <t>Work Order Description</t>
  </si>
  <si>
    <t>Location</t>
  </si>
  <si>
    <t>Maximo Schedule Start</t>
  </si>
  <si>
    <t>Maximo Schedule Finish</t>
  </si>
  <si>
    <t>Nesting Code</t>
  </si>
  <si>
    <t>Target Finish</t>
  </si>
  <si>
    <t>Craft</t>
  </si>
  <si>
    <t>Work Type</t>
  </si>
  <si>
    <t>Quantity</t>
  </si>
  <si>
    <t>Tot Est Hrs</t>
  </si>
  <si>
    <t>Priority</t>
  </si>
  <si>
    <t>SCE?</t>
  </si>
  <si>
    <t>Reg?</t>
  </si>
  <si>
    <t>L2R?</t>
  </si>
  <si>
    <t>Energy Iso?</t>
  </si>
  <si>
    <t>Status</t>
  </si>
  <si>
    <t>Isolation Permit</t>
  </si>
  <si>
    <t>Isolation Permit Status</t>
  </si>
  <si>
    <t>Material Status</t>
  </si>
  <si>
    <t>Parent Lead Craft</t>
  </si>
  <si>
    <t>Lead Craft</t>
  </si>
  <si>
    <t>Bit?</t>
  </si>
  <si>
    <t>Bit QA?</t>
  </si>
  <si>
    <t>Bit QC?</t>
  </si>
  <si>
    <t>Execution Week</t>
  </si>
  <si>
    <t>Comments</t>
  </si>
  <si>
    <t>CO</t>
  </si>
  <si>
    <t>N</t>
  </si>
  <si>
    <t>RESCH</t>
  </si>
  <si>
    <t>Issued</t>
  </si>
  <si>
    <t>WSCHD</t>
  </si>
  <si>
    <t>SO</t>
  </si>
  <si>
    <t>K-GC1-YARD-FLN-GLT-24</t>
  </si>
  <si>
    <t>PMP</t>
  </si>
  <si>
    <t>ISSUED</t>
  </si>
  <si>
    <t>#MULTIVALUE</t>
  </si>
  <si>
    <t>IsolationInProgress</t>
  </si>
  <si>
    <t>IsolationInPlace</t>
  </si>
  <si>
    <t>Staged</t>
  </si>
  <si>
    <t>Y</t>
  </si>
  <si>
    <t>MOC</t>
  </si>
  <si>
    <t>APPR</t>
  </si>
  <si>
    <t>WaitingForAuthorization</t>
  </si>
  <si>
    <t>K-STP-4971-SF-71-96</t>
  </si>
  <si>
    <t>1/10/2019</t>
  </si>
  <si>
    <t>1/17/2019</t>
  </si>
  <si>
    <t>1/24/2019</t>
  </si>
  <si>
    <t>1/31/2019</t>
  </si>
  <si>
    <t>K-SF-PAD-A4W2-BL-56-0105</t>
  </si>
  <si>
    <t>2/7/2019</t>
  </si>
  <si>
    <t>K-DS16-5016-WLN-16-13</t>
  </si>
  <si>
    <t>K-DS16-5016-WLN-16-11</t>
  </si>
  <si>
    <t>2/14/2019</t>
  </si>
  <si>
    <t>K-GC3-YARD</t>
  </si>
  <si>
    <t>WIH</t>
  </si>
  <si>
    <t>K-N-PAD-YARD-FLN-NMS-804</t>
  </si>
  <si>
    <t>VSM</t>
  </si>
  <si>
    <t>2/21/2019</t>
  </si>
  <si>
    <t>2/28/2019</t>
  </si>
  <si>
    <t>3/7/2019</t>
  </si>
  <si>
    <t>K-D-PAD-YARD-FLN-D-88</t>
  </si>
  <si>
    <t>3/14/2019</t>
  </si>
  <si>
    <t>K-GC1-FLR-FL-01-0008</t>
  </si>
  <si>
    <t>PIPE-GMT</t>
  </si>
  <si>
    <t>Requesting</t>
  </si>
  <si>
    <t>K-GC1-YARD-CC-01-0001</t>
  </si>
  <si>
    <t>K-DS14-5014-WLN-14-09</t>
  </si>
  <si>
    <t>BP05-K-GPB-FS3#281652</t>
  </si>
  <si>
    <t>K736932</t>
  </si>
  <si>
    <t>TK832579</t>
  </si>
  <si>
    <t>(WIH) PIPE-Mobe Up/Cut &amp; Replace piping-AR 17-1035 DS12 Well 15/36 A/L has external corrosion at inspection ID 031+03,032'.</t>
  </si>
  <si>
    <t>K-DS12-5012-WLN-12-15_36AL</t>
  </si>
  <si>
    <t>K736144</t>
  </si>
  <si>
    <t>TK841827</t>
  </si>
  <si>
    <t>PIPE-Cut &amp; Replace-AR 18-0273 14-09WL Cut/Replace w/CARBER flanges due to mechanical damage</t>
  </si>
  <si>
    <t>K741759</t>
  </si>
  <si>
    <t>TK836980</t>
  </si>
  <si>
    <t>PIPE-cut out &amp; replace piping-AR 17-1035 DS12 Well 15/36 A/L has external corrosion at inspection ID 031+03,032'.</t>
  </si>
  <si>
    <t>K736934</t>
  </si>
  <si>
    <t>TK832582</t>
  </si>
  <si>
    <t>(WIH) PIPE-Reinsulate-AR 17-1035 DS12 Well 15/36 A/L has external corrosion at inspection ID 031+03,032'.</t>
  </si>
  <si>
    <t>K736935</t>
  </si>
  <si>
    <t>TK832583</t>
  </si>
  <si>
    <t>(WIH) PIPE-Demobe-AR 17-1035 DS12 Well 15/36 A/L has external corrosion at inspection ID 031+03,032'.</t>
  </si>
  <si>
    <t>K-H-PAD-YARD-WLN-H-11/32</t>
  </si>
  <si>
    <t>K746238</t>
  </si>
  <si>
    <t>TK840671</t>
  </si>
  <si>
    <t>PIPE-Mobe up for piping replacement-AR 18-0179 DS03-4901-Drain spool replacemnt (03-SWI pig receiver barrel)</t>
  </si>
  <si>
    <t>K-DS03-4901-27-28011</t>
  </si>
  <si>
    <t>K747559</t>
  </si>
  <si>
    <t>TK841851</t>
  </si>
  <si>
    <t>PIPE-Reinsulate/-AR 18-0273 14-09WL Cut/Replace due to mechanical damage</t>
  </si>
  <si>
    <t>K697126</t>
  </si>
  <si>
    <t>TK829222</t>
  </si>
  <si>
    <t>PIPE INSTALL SLEEVE - AR 17-786 H-11/32 Well Line Install Pressure Sleeve</t>
  </si>
  <si>
    <t>K725320</t>
  </si>
  <si>
    <t>TK840672</t>
  </si>
  <si>
    <t>PIPE-Replace piping-AR 18-0179 DS03-4901-Drain spool replacemnt (03-SWI pig receiver barrel)</t>
  </si>
  <si>
    <t>BP05-K-GPB-FS2#279682</t>
  </si>
  <si>
    <t>K746240</t>
  </si>
  <si>
    <t>TK840674</t>
  </si>
  <si>
    <t>PIPE DEMOBE-AR 18-0179 DS03-4901-Drain spool replacemnt (03-SWI pig receiver barrel)</t>
  </si>
  <si>
    <t>K763270</t>
  </si>
  <si>
    <t>TK855607</t>
  </si>
  <si>
    <t>PIPE-Remove Blinding-DS14 09WL at well tree wing-valve</t>
  </si>
  <si>
    <t>K730002</t>
  </si>
  <si>
    <t>TK826564</t>
  </si>
  <si>
    <t>(WIH) PIPE-Mobe Up-AR 17-1033: 12-15/36AL WL - Cut/replace pipe section due to CUI</t>
  </si>
  <si>
    <t>K732929</t>
  </si>
  <si>
    <t>TK829246</t>
  </si>
  <si>
    <t>PIPE-Reinsulate-AR 17-786 H-11/32 Well Line Install Pressure Sleeve</t>
  </si>
  <si>
    <t>K692670</t>
  </si>
  <si>
    <t>TK826550</t>
  </si>
  <si>
    <t>(WIH) PIPE-cut out &amp; replace piping-AR 17-1033: 12-15/36AL WL - Cut/replace pipe section due to CUI</t>
  </si>
  <si>
    <t>K747565</t>
  </si>
  <si>
    <t>TK841853</t>
  </si>
  <si>
    <t>PIPE-Demobe-AR 18-0273 14-09WL Cut/Replace due to mechanical damage</t>
  </si>
  <si>
    <t>K732897</t>
  </si>
  <si>
    <t>TK829227</t>
  </si>
  <si>
    <t>PIPE DEMOBE -AR 17-786 H-11/32 Well Line Install Pressure Sleeve</t>
  </si>
  <si>
    <t>K730009</t>
  </si>
  <si>
    <t>TK826568</t>
  </si>
  <si>
    <t>(WIH) PIPE-Reinsulate-AR 17-1033: 12-15/36AL WL - Cut/replace pipe section due to CUI</t>
  </si>
  <si>
    <t>K730988</t>
  </si>
  <si>
    <t>TK827531</t>
  </si>
  <si>
    <t>PIPE-PRE-WORK- AR 17-939: WL 14-22 - Pressure sleeve repair due to external Corrosion</t>
  </si>
  <si>
    <t>K-DS14-5014-WLN-14-22</t>
  </si>
  <si>
    <t>K730012</t>
  </si>
  <si>
    <t>TK826573</t>
  </si>
  <si>
    <t>(WIH) PIPE-Demobe-AR 17-1033: 12-15/36AL WL - Cut/replace pipe section due to CUI</t>
  </si>
  <si>
    <t>K701339</t>
  </si>
  <si>
    <t>TK827503</t>
  </si>
  <si>
    <t>Field Pipe - AR 17-939: WL 14-22 - Pressure sleeve repair due to CUI</t>
  </si>
  <si>
    <t>K731006</t>
  </si>
  <si>
    <t>TK827557</t>
  </si>
  <si>
    <t>PIPE-ReInsulate- AR 17-939: WL 14-22 - Pressure sleeve repair due to external Corrosion</t>
  </si>
  <si>
    <t>K726709</t>
  </si>
  <si>
    <t>TK823912</t>
  </si>
  <si>
    <t>Pipe-reinsulate-GC-1, AR 17-929 (PMP 17-142), D-88, Grind and Blend</t>
  </si>
  <si>
    <t>K731005</t>
  </si>
  <si>
    <t>TK827555</t>
  </si>
  <si>
    <t>PIPE-POST-WORK- AR 17-939: WL 14-22 - Pressure sleeve repair due to external Corrosion</t>
  </si>
  <si>
    <t>K682798</t>
  </si>
  <si>
    <t>TK823902</t>
  </si>
  <si>
    <t>PIPE-GC-1, AR 17-929 (PMP 17-142), D-88, Grind and Blend</t>
  </si>
  <si>
    <t>K741760</t>
  </si>
  <si>
    <t>TK836981</t>
  </si>
  <si>
    <t>PIPE-cut out &amp; replace piping-AR 18-0045, W-pad, W-07GLT, Station 48.2D, External Corrosion, PIPING CUTOUT</t>
  </si>
  <si>
    <t>K-W-PAD-YARD-WLN-W-07GLT</t>
  </si>
  <si>
    <t>BP05-K-GPB-GC2#268622</t>
  </si>
  <si>
    <t>K706041</t>
  </si>
  <si>
    <t>TK807171</t>
  </si>
  <si>
    <t>PIPE-Mob up-AR 17-940 W-39 Production Well Line Cutout and Replace Segment 108.1D</t>
  </si>
  <si>
    <t>K-W-PAD-YARD-WLN-W-39</t>
  </si>
  <si>
    <t>K737767</t>
  </si>
  <si>
    <t>TK833270</t>
  </si>
  <si>
    <t>PIPE-Reinsulate-AR 18-0045, W-pad, W-07GLT, Station 48.2D, External Corrosion, PIPING CUTOUT</t>
  </si>
  <si>
    <t>K737768</t>
  </si>
  <si>
    <t>TK833271</t>
  </si>
  <si>
    <t>PIPE-Demobe-AR 18-0045, W-pad, W-07GLT, Station 48.2D, External Corrosion, PIPING CUTOUT</t>
  </si>
  <si>
    <t>K666727</t>
  </si>
  <si>
    <t>TK807142</t>
  </si>
  <si>
    <t>PIPE-GMT-Cut &amp; Replace piping-AR 17-940 W-39 Production Well Line Cutout and Replace Segment 108.1D</t>
  </si>
  <si>
    <t>K763829</t>
  </si>
  <si>
    <t>TK862301</t>
  </si>
  <si>
    <t>PIPE-Install Sleeve-AR 18-0345: WL 14-10 - Pressure sleeve repair due to CUI</t>
  </si>
  <si>
    <t>K-DS14-5014-WLN-14-10</t>
  </si>
  <si>
    <t>K736345</t>
  </si>
  <si>
    <t>TK832125</t>
  </si>
  <si>
    <t>PIPE-SCAF- ERECT AR 17-658, R-pad, R-46 PWI Pipeline, Grind and Blend Stations 585-588</t>
  </si>
  <si>
    <t>K-R-PAD-YARD-FLN-R-46</t>
  </si>
  <si>
    <t>K771826</t>
  </si>
  <si>
    <t>TK862304</t>
  </si>
  <si>
    <t>PIPE-POST WORK-AR 18-0345: WL 14-10 - Pressure sleeve repair due to CUI</t>
  </si>
  <si>
    <t>K771825</t>
  </si>
  <si>
    <t>TK862303</t>
  </si>
  <si>
    <t>PIPE-ReInsulate-AR 18-0345: WL 14-10 - Pressure sleeve repair due to CUI</t>
  </si>
  <si>
    <t>K677277</t>
  </si>
  <si>
    <t>TK827505</t>
  </si>
  <si>
    <t>PIPE - G&amp;B - AR 17-658, R-pad, R-46 PWI Pipeline, Grind and Blend Stations 585-588</t>
  </si>
  <si>
    <t>K706063</t>
  </si>
  <si>
    <t>TK807177</t>
  </si>
  <si>
    <t>PIPE-Reinsulate-AR 17-940 W-39 Production Well Line Cutout and Replace Segment 108.1D</t>
  </si>
  <si>
    <t>K736355</t>
  </si>
  <si>
    <t>TK832132</t>
  </si>
  <si>
    <t>PIPE-INSUL- REPLACE AR 17-658, R-pad, R-46 PWI Pipeline, Grind and Blend Stations 585-588</t>
  </si>
  <si>
    <t>K727547</t>
  </si>
  <si>
    <t>TK864661</t>
  </si>
  <si>
    <t>PIPE-Install wrap-AR 18-0165 20" Suction Line to Booster Pump 15304-Clockspring Wrap</t>
  </si>
  <si>
    <t>K-SIP-4930</t>
  </si>
  <si>
    <t>K774771</t>
  </si>
  <si>
    <t>TK865079</t>
  </si>
  <si>
    <t>PIPE-Strip paint and buff location- for clockspring campaign-AR 18-0164 Clockspring Wrap on Main 42" Suction Line</t>
  </si>
  <si>
    <t>K706060</t>
  </si>
  <si>
    <t>TK807185</t>
  </si>
  <si>
    <t>Pipe-Demob-AR 17-940 W-39 Production Well Line Cutout and Replace Segment 108.1D</t>
  </si>
  <si>
    <t>K736353</t>
  </si>
  <si>
    <t>TK832129</t>
  </si>
  <si>
    <t>PIPE-SCAF- REMOVE  AR 17-658, R-pad, R-46 PWI Pipeline, Grind and Blend Stations 585-588</t>
  </si>
  <si>
    <t>K774773</t>
  </si>
  <si>
    <t>TK864632</t>
  </si>
  <si>
    <t>PIPE-Pre work for clockspring campaign-AR 18-0164 Clockspring Wrap on Main 42" Suction Line</t>
  </si>
  <si>
    <t>K727549</t>
  </si>
  <si>
    <t>TK864658</t>
  </si>
  <si>
    <t>PIPE-Install wrap-AR 18-0065 Clockspring Wrap On 20" Suction Piping to 15302 Pump</t>
  </si>
  <si>
    <t>K725328</t>
  </si>
  <si>
    <t>TK864605</t>
  </si>
  <si>
    <t>Pipe-Apply clockspring to 42" PIPING-AR 18-0164 Clockspring Wrap on Main 42" Suction Line</t>
  </si>
  <si>
    <t>K774776</t>
  </si>
  <si>
    <t>TK864649</t>
  </si>
  <si>
    <t>Pipe-Post work for clockspring campaign-AR 18-0164 Clockspring Wrap on Main 42" Suction Line</t>
  </si>
  <si>
    <t>K725314</t>
  </si>
  <si>
    <t>TK864664</t>
  </si>
  <si>
    <t>PIPE-Install wrap-AR 18-0089 Clockspring Wrap On 20" Booster Suction 15304</t>
  </si>
  <si>
    <t>K722343</t>
  </si>
  <si>
    <t>TK832735</t>
  </si>
  <si>
    <t>AR 17-777, N-pad, N-22GLT, ARC STRIKE GRIND AND BLEND</t>
  </si>
  <si>
    <t>K-N-PAD-YARD-WLN-N-22GLT</t>
  </si>
  <si>
    <t>K737168</t>
  </si>
  <si>
    <t>TK832737</t>
  </si>
  <si>
    <t>PIPE - Reinsulate/Demobe -AR 17-777, N-pad, N-22GLT, ARC STRIKE GRIND AND BLEND</t>
  </si>
  <si>
    <t>K734104</t>
  </si>
  <si>
    <t>TK830278</t>
  </si>
  <si>
    <t>PIPE-Mobe Up for Cut &amp; Replace piping w/Carber flanges-AR 17-684 DS16-11 2nd Repair-Cut &amp; Replace w/Carber flanges</t>
  </si>
  <si>
    <t>K710435</t>
  </si>
  <si>
    <t>TK830279</t>
  </si>
  <si>
    <t>PIPE-Cut &amp; Replace Piping w/Carber flanges-AR 17-684 DS16-11 2nd Repair-Cut &amp; Replace w/Carber flanges</t>
  </si>
  <si>
    <t>K739736</t>
  </si>
  <si>
    <t>TK835569</t>
  </si>
  <si>
    <t>PIPE-Mobe Up/Pre-Work-AR 17-795 - Replace 6"x4" reducer spool - LGI - 06 @ 002+00,010'00" - Fails circumferential extent (CUI)</t>
  </si>
  <si>
    <t>K-LGI-5051-DLGI-WHLG0006</t>
  </si>
  <si>
    <t>K734106</t>
  </si>
  <si>
    <t>TK830281</t>
  </si>
  <si>
    <t>PIPE-Reinsulate-AR 17-684 DS16-11 2nd Repair-Cut &amp; Replace w/Carber flanges</t>
  </si>
  <si>
    <t>K681076</t>
  </si>
  <si>
    <t>TK835042</t>
  </si>
  <si>
    <t>PIPE-Replace piping/bolt-up:  AR 17-795 - Replace 6"x4" reducer spool - LGI - 06 @ 002+00,010'00" - Fails circumferential extent (CUI)</t>
  </si>
  <si>
    <t>K734107</t>
  </si>
  <si>
    <t>TK830282</t>
  </si>
  <si>
    <t>PIPE-Demobe-AR 17-684 DS16-11 2nd Repair-Cut &amp; Replace w/Carber flanges</t>
  </si>
  <si>
    <t>K730900</t>
  </si>
  <si>
    <t>TK827395</t>
  </si>
  <si>
    <t>PIPE-Mobe Up for Cut &amp; Replace piping w/Carber flanges-AR 18-0031: WL 16-13 - Cut &amp; Replace w/ Carber flanges-Flanged spool replacement at 005+21,011' due to CUI LOPC</t>
  </si>
  <si>
    <t>K687246</t>
  </si>
  <si>
    <t>TK827396</t>
  </si>
  <si>
    <t>PIPE-Cut &amp; Replace Piping w/Carber flanges-AR 18-0031 DS16 well 13 - Cut &amp; Replace w/ Carber flanges-Flanged spool replacement at 005+21,011' due to CUI LOPC</t>
  </si>
  <si>
    <t>K740301</t>
  </si>
  <si>
    <t>TK835573</t>
  </si>
  <si>
    <t>PIPE-Demobe/Post-Work-AR 17-795 - Replace 6"x4" reducer spool - LGI - 06 @ 002+00,010'00" - Fails circumferential extent (CUI)</t>
  </si>
  <si>
    <t>K730903</t>
  </si>
  <si>
    <t>TK827399</t>
  </si>
  <si>
    <t>PIPE-Demobe-AR 18-0031: WL 16-13 - Cut &amp; Replace w/ Carber flanges-Flanged spool replacement at 005+21,011' due to CUI LOPC</t>
  </si>
  <si>
    <t>K727789</t>
  </si>
  <si>
    <t>TK824828</t>
  </si>
  <si>
    <t>PIPE- SCAF GC-1, 17-600, GT-38, Grind and Blend</t>
  </si>
  <si>
    <t>K730925</t>
  </si>
  <si>
    <t>TK827450</t>
  </si>
  <si>
    <t>PIPE-GMT-MOBE / INSTALL SCAFFOLD - PMP 17-307, LVZ-804 FL, Sta. 12523?03" - MCH DMG (Gouge)</t>
  </si>
  <si>
    <t>K-L-PAD-YARD-FLN-LVZ-804</t>
  </si>
  <si>
    <t>K682534</t>
  </si>
  <si>
    <t>TK824819</t>
  </si>
  <si>
    <t>PIPE GRIND AND BLEND GC-1, 17-600, GT-38, Grind and Blend</t>
  </si>
  <si>
    <t>K596327</t>
  </si>
  <si>
    <t>TK827430</t>
  </si>
  <si>
    <t>PIPE G&amp;B - PMP 17-307, LVZ-804 FL, Sta. 12523?03" - MCH DMG (Gouge)</t>
  </si>
  <si>
    <t>K727813</t>
  </si>
  <si>
    <t>TK824847</t>
  </si>
  <si>
    <t>PIPE-INSUL GC-1, 17-600, GT-38, Grind and Blend</t>
  </si>
  <si>
    <t>K735989</t>
  </si>
  <si>
    <t>TK831835</t>
  </si>
  <si>
    <t>PIPE-REMOVE SCAF GC-1, 17-600, GT-38, Grind and Blend</t>
  </si>
  <si>
    <t>K730926</t>
  </si>
  <si>
    <t>TK827451</t>
  </si>
  <si>
    <t>PIPE - REMOVE / REPLACE INSULATION - PMP 17-307, LVZ-804 FL, Sta. 12523?03" - MCH DMG (Gouge)</t>
  </si>
  <si>
    <t>K730929</t>
  </si>
  <si>
    <t>TK827463</t>
  </si>
  <si>
    <t>PIPE-GMT - DEMOBE/ REMOVE SCAFFOLD - PMP 17-307, LVZ-804 FL, Sta. 12523?0</t>
  </si>
  <si>
    <t>K746223</t>
  </si>
  <si>
    <t>TK840653</t>
  </si>
  <si>
    <t>Pipe-GMT install pipe clamp-AR 17-976 263H-20" HP Flare Line Cracked Vent Valve Clamp Install Temporary Repair</t>
  </si>
  <si>
    <t>K726174</t>
  </si>
  <si>
    <t>TK833226</t>
  </si>
  <si>
    <t>WIH-PIPE -Grind and Blend-ADEC, AR 17-768 / PMP 16-570, F-46 WL, Sta. 215.39D thru 215.43D, Fails 105% - IC, Mch Dmg</t>
  </si>
  <si>
    <t>K-F-PAD-YARD-WLN-F-46</t>
  </si>
  <si>
    <t>K737700</t>
  </si>
  <si>
    <t>TK833228</t>
  </si>
  <si>
    <t>WIH-PIPE - Reinsulate/Demobe-ADEC, AR 17-768 / PMP 16-570, F-46 WL, Sta. 215.39D thru 215.43D, Fails 105% - IC, Mch Dmg</t>
  </si>
  <si>
    <t>K778820</t>
  </si>
  <si>
    <t>TK867838</t>
  </si>
  <si>
    <t>PIPE G&amp;B - AR 17-392 GLT-24 ARc Strike at Station E-3485'07"</t>
  </si>
  <si>
    <t>K777370</t>
  </si>
  <si>
    <t>TK866620</t>
  </si>
  <si>
    <t>PIPE-ADEC, PMP 16-603, M-69 Sta. 36503 / 36504 - Mechanical damage (Arc Burns)</t>
  </si>
  <si>
    <t>K-M-PAD-YARD-FLN-M-69</t>
  </si>
  <si>
    <t>K777447</t>
  </si>
  <si>
    <t>TK866686</t>
  </si>
  <si>
    <t>PIPE-Reinsulate-ADEC, PMP 16-603, M-69 Sta. 36503 / 36504 - Mechanical damage (Arc Burns)</t>
  </si>
  <si>
    <t>PIPE-SCAF - GC2 AR 18-0069 GLT-24 Arc Strike Grind &amp; Blend</t>
  </si>
  <si>
    <t>PIPE G&amp;B -GC2 AR 18-0069 GLT-24 Arc Strike Grind &amp; Blend</t>
  </si>
  <si>
    <t>K683882</t>
  </si>
  <si>
    <t>TK788646</t>
  </si>
  <si>
    <t>PIPE-PRE-WORK-Follow Up AR 17-383 WGI-08 welline Pressure Sleeve &amp; Anchor Sleeve Install-</t>
  </si>
  <si>
    <t>K-NWAGI-5011-WHWG-0008</t>
  </si>
  <si>
    <t>Pipe-GC2 AR 18-0069 GLT-24 Arc Strike Grind &amp; Blend</t>
  </si>
  <si>
    <t>K726777</t>
  </si>
  <si>
    <t>TK823989</t>
  </si>
  <si>
    <t>PIPE-ERECT AND DEMOBE Scaff- GC-1, 17-933 (PMP 17-166), X-74 Sta. B-3987OB-22'07", Grind and Blend</t>
  </si>
  <si>
    <t>K-X-PAD-YARD-FLN-X-74</t>
  </si>
  <si>
    <t>K653489</t>
  </si>
  <si>
    <t>TK808186</t>
  </si>
  <si>
    <t>PIPE- Install pressure sleeve per AR 17-383</t>
  </si>
  <si>
    <t>K-NWAGI-5011-WLN-WG-08</t>
  </si>
  <si>
    <t>PIPE-SCAF REMOVE - GC2 AR 18-0069 GLT-24 Arc Strike Grind &amp; Blend</t>
  </si>
  <si>
    <t>K693919</t>
  </si>
  <si>
    <t>TK823985</t>
  </si>
  <si>
    <t>PIPE-Perform grind and blend-GC-1, 17-933 (PMP 17-166), X-74 Sta. B-3987OB-22'07", Grind and Blend</t>
  </si>
  <si>
    <t>K718665</t>
  </si>
  <si>
    <t>TK858644</t>
  </si>
  <si>
    <t>PIPE-Replace spools-Mod 4909 Sump Pump 1559 Discharge Line repair AR 17-938</t>
  </si>
  <si>
    <t>K-CGF-4909-1559</t>
  </si>
  <si>
    <t>DRFT-DOCTECH</t>
  </si>
  <si>
    <t>K683888</t>
  </si>
  <si>
    <t>TK788653</t>
  </si>
  <si>
    <t>PIPE-ReInsulate-Follow Up AR 17-383 WGI-08 welline Pressure Sleeve &amp; Anchor Sleeve Install-</t>
  </si>
  <si>
    <t>K726778</t>
  </si>
  <si>
    <t>TK823993</t>
  </si>
  <si>
    <t>PIPE-REINSULATE- GC-1, 17-933 (PMP 17-166), X-74 Sta. B-3987OB-22'07", Grind and Blend</t>
  </si>
  <si>
    <t>K755876</t>
  </si>
  <si>
    <t>TK859397</t>
  </si>
  <si>
    <t>PIPE-POST WORK-Mod 4909 Sump Pump 1559 Discharge Line repair AR 17-938</t>
  </si>
  <si>
    <t>K683889</t>
  </si>
  <si>
    <t>TK788654</t>
  </si>
  <si>
    <t>PIPE-Post work-PIPE-POST-WORK-Follow Up AR 17-383 WGI-08 welline Pressure Sleeve &amp; Anchor Sleeve Install-</t>
  </si>
  <si>
    <t>K706960</t>
  </si>
  <si>
    <t>TK865549</t>
  </si>
  <si>
    <t>Pipe-Demo/Reinstall tapped blind flange-AR 17-814, F-pad, Skid 59, 51V, Internal Corrosion at ID 147</t>
  </si>
  <si>
    <t>K-F-PAD-059</t>
  </si>
  <si>
    <t>K736001</t>
  </si>
  <si>
    <t>TK831842</t>
  </si>
  <si>
    <t>PIPE-REMOVE Scaff- GC-1, 17-933 (PMP 17-166), X-74 Sta. B-3987OB-22'07", Grind and Blend</t>
  </si>
  <si>
    <t>K726774</t>
  </si>
  <si>
    <t>TK823980</t>
  </si>
  <si>
    <t>PIPE -SCAF ERECT/DISMANTLE- AR 17-673 S-27GLT Well Line Grind and Blend at Station 345.16D</t>
  </si>
  <si>
    <t>K-S-PAD-YARD-WLN-S-27GLT</t>
  </si>
  <si>
    <t>K755870</t>
  </si>
  <si>
    <t>TK858649</t>
  </si>
  <si>
    <t>PIPE-MOBE UP-CGF Mod 4902 Sump 1951 Discharge Line repair AR 18-0073</t>
  </si>
  <si>
    <t>K-CGF-4902-19-1951</t>
  </si>
  <si>
    <t>K640673</t>
  </si>
  <si>
    <t>TK823960</t>
  </si>
  <si>
    <t>PIPE - AR 17-673 S-27GLT Well Line Grind and Blend at Station 345.16D</t>
  </si>
  <si>
    <t>K735939</t>
  </si>
  <si>
    <t>TK831792</t>
  </si>
  <si>
    <t>PIPE -SCAF REMOVE AR 17-673 S-27GLT Well Line Grind and Blend at Station 345.16D</t>
  </si>
  <si>
    <t>K-S-PAD-YARD-CC-S-7501</t>
  </si>
  <si>
    <t>K718657</t>
  </si>
  <si>
    <t>TK858602</t>
  </si>
  <si>
    <t>PIPE-Replace spools-CGF Mod 4902 Sump 1951 Discharge Line repair AR 18-0073</t>
  </si>
  <si>
    <t>K726801</t>
  </si>
  <si>
    <t>TK824006</t>
  </si>
  <si>
    <t>PIPE - INSUL -AR 17-673 S-27GLT Well Line Grind and Blend at Station 345.16D</t>
  </si>
  <si>
    <t>K755872</t>
  </si>
  <si>
    <t>TK858651</t>
  </si>
  <si>
    <t>PIPE-Post work-CGF Mod 4902 Sump 1951 Discharge Line repair AR 18-0073</t>
  </si>
  <si>
    <t>K741452</t>
  </si>
  <si>
    <t>TK836714</t>
  </si>
  <si>
    <t>PIPE-Mobe Up-Cut &amp; Replace piping w/LokRing-AR 18-0274 LOPC on GC1 Purge/Pilot Line 271J-3", Cut out and Replace</t>
  </si>
  <si>
    <t>K737275</t>
  </si>
  <si>
    <t>TK836715</t>
  </si>
  <si>
    <t>PIPE-Cut &amp; Replace w/LokRing-AR 18-0274 LOPC on GC1 Purge/Pilot Line 271J-3", Cut out and Replace</t>
  </si>
  <si>
    <t>K741454</t>
  </si>
  <si>
    <t>TK836717</t>
  </si>
  <si>
    <t>PIPE-Demobe-AR 18-0274 LOPC on GC1 Purge/Pilot Line 271J-3", Cut out and Replace</t>
  </si>
  <si>
    <t>K741453</t>
  </si>
  <si>
    <t>TK836716</t>
  </si>
  <si>
    <t>PIPE-Reinsulate-AR 18-0274 LOPC on GC1 Purge/Pilot Line 271J-3", Cut out and Replace</t>
  </si>
  <si>
    <t>CMC-GMT</t>
  </si>
  <si>
    <t>K241535</t>
  </si>
  <si>
    <t>TK674507</t>
  </si>
  <si>
    <t>P# 106857 FSP - PMP 15-029- STP 4912 Deaeration Tower 11-12201</t>
  </si>
  <si>
    <t>K-STP-4912-1112-P12201-ASE</t>
  </si>
  <si>
    <t>K594956</t>
  </si>
  <si>
    <t>TK710217</t>
  </si>
  <si>
    <t>BCP# 147917 Additional Hours to Swap out old rupture disk; install new</t>
  </si>
  <si>
    <t>K-STP-4913-1113-P12204-ASE</t>
  </si>
  <si>
    <t>K725088</t>
  </si>
  <si>
    <t>TK841829</t>
  </si>
  <si>
    <t>FSP - Reinstall - DS12 - AL Warm-Up Loop Saddle Off VSM - Resting on Insulation</t>
  </si>
  <si>
    <t>K-DS12-4951-2751-F544-AV</t>
  </si>
  <si>
    <t>K196205</t>
  </si>
  <si>
    <t>TK642646</t>
  </si>
  <si>
    <t>CWP# 93876 CMC - Replace Missing Bands - FS-2 DS-4 SWI Line - Needs Saddle Repairs</t>
  </si>
  <si>
    <t>K-DS04-5004-FLN-04-SWI</t>
  </si>
  <si>
    <t>K686578</t>
  </si>
  <si>
    <t>TK797119</t>
  </si>
  <si>
    <t>K606415</t>
  </si>
  <si>
    <t>TK827438</t>
  </si>
  <si>
    <t>FSP - Reset Saddles - S Pad - NPX Headers Saddles Shifted - Needs Reset</t>
  </si>
  <si>
    <t>K-S-PAD-YARD-CLN-0120K</t>
  </si>
  <si>
    <t>K547126</t>
  </si>
  <si>
    <t>TK667745</t>
  </si>
  <si>
    <t>CMC-GMT - K-CPS-161-CRN-17-6101 - Assist Crane Crew with Load Test - Crane Upgrade to wireless controls</t>
  </si>
  <si>
    <t>K-CPS-161-CRN-17-6101</t>
  </si>
  <si>
    <t>K746954</t>
  </si>
  <si>
    <t>TK846093</t>
  </si>
  <si>
    <t>CMC - Install Lift Beam - GC3 Skid 433 - FN-03-9556A</t>
  </si>
  <si>
    <t>K-GC3-433-MFN-03-9556A</t>
  </si>
  <si>
    <t>K652515</t>
  </si>
  <si>
    <t>TK760840</t>
  </si>
  <si>
    <t>FSP - MOBE UP - L, V, S, and Z Pad-GC-2 - Campaign Snow Fence Repairs</t>
  </si>
  <si>
    <t>K-CC2</t>
  </si>
  <si>
    <t>K502723</t>
  </si>
  <si>
    <t>TK628889</t>
  </si>
  <si>
    <t>CMC - GC2 sk 7 REPLACE BATTERY CHARGERS FOR BA-02-0001</t>
  </si>
  <si>
    <t>K-GC2-007-BC-02-0001A</t>
  </si>
  <si>
    <t>K652516</t>
  </si>
  <si>
    <t>TK760841</t>
  </si>
  <si>
    <t>L-PAD  - Campaign Snow Fence Repairs</t>
  </si>
  <si>
    <t>K-L-PAD-514-AAH-L-0514</t>
  </si>
  <si>
    <t>K699916</t>
  </si>
  <si>
    <t>TK802089</t>
  </si>
  <si>
    <t>FSP - Mobe-Up - N Pad - 14 Flowlines are off VSM 86</t>
  </si>
  <si>
    <t>K-N-PAD-048-GND-N-4801</t>
  </si>
  <si>
    <t>K687884</t>
  </si>
  <si>
    <t>TK802091</t>
  </si>
  <si>
    <t>FSP - Saddle Reset - N Pad - 14 Flowlines are off VSM 86</t>
  </si>
  <si>
    <t>K699917</t>
  </si>
  <si>
    <t>TK802092</t>
  </si>
  <si>
    <t>FSP - De-Mobe - N Pad - 14 Flowlines are off VSM 86</t>
  </si>
  <si>
    <t>K652519</t>
  </si>
  <si>
    <t>TK760844</t>
  </si>
  <si>
    <t>V-PAD - Campaign Snow Fence Repairs</t>
  </si>
  <si>
    <t>K-V-PAD-YARD</t>
  </si>
  <si>
    <t>K718923</t>
  </si>
  <si>
    <t>TK863463</t>
  </si>
  <si>
    <t>CMC-subsidence repair - CGF flare blowcase shelter   AR 17-672</t>
  </si>
  <si>
    <t>K-CGF-4945</t>
  </si>
  <si>
    <t>K652518</t>
  </si>
  <si>
    <t>TK760843</t>
  </si>
  <si>
    <t>Z-PAD - Campaign Snow Fence Repairs</t>
  </si>
  <si>
    <t>K-Z-PAD-YARD</t>
  </si>
  <si>
    <t>K724434</t>
  </si>
  <si>
    <t>TK822206</t>
  </si>
  <si>
    <t>FSP - Prep Blinds - GC2 Skid 2 - Ullage Header 254A-ABDN - Internal Corrosion - AR 17-351</t>
  </si>
  <si>
    <t>K-GC2-002</t>
  </si>
  <si>
    <t>K701213</t>
  </si>
  <si>
    <t>TK822203</t>
  </si>
  <si>
    <t>FSP - Install Blinds - GC2 Skid 2 - Ullage Header 254A-ABDN - Internal Corrosion - AR 17-351</t>
  </si>
  <si>
    <t>K-GC2-002-AHOA-02-0013</t>
  </si>
  <si>
    <t>K777772</t>
  </si>
  <si>
    <t>TK866995</t>
  </si>
  <si>
    <t>Z-PAD - ADD HRS - GC-2 - Campaign Snow Fence Repairs</t>
  </si>
  <si>
    <t>K713614</t>
  </si>
  <si>
    <t>TK813241</t>
  </si>
  <si>
    <t>FSP - PM1/PM2 - MI - Causeway Bridge - WIV/TVA Replacement</t>
  </si>
  <si>
    <t>K-LPC-4919-1396A</t>
  </si>
  <si>
    <t>K777172</t>
  </si>
  <si>
    <t>TK866480</t>
  </si>
  <si>
    <t>CMC-Pre Work-AR 18-0116 N-Pad Pipeline Crib Stack Maintenance</t>
  </si>
  <si>
    <t>K652517</t>
  </si>
  <si>
    <t>TK760842</t>
  </si>
  <si>
    <t>S-PAD - Campaign Snow Fence Repairs</t>
  </si>
  <si>
    <t>K-S-PAD-YARD</t>
  </si>
  <si>
    <t>K777771</t>
  </si>
  <si>
    <t>TK866993</t>
  </si>
  <si>
    <t>S PAD - ADD HRS - GC-2 - Campaign Snow Fence Repairs</t>
  </si>
  <si>
    <t>K555345</t>
  </si>
  <si>
    <t>TK719485</t>
  </si>
  <si>
    <t>CMC-GMT - Remove Heating Coil</t>
  </si>
  <si>
    <t>K775310</t>
  </si>
  <si>
    <t>TK865024</t>
  </si>
  <si>
    <t>CMC-GMT - Combining hours with original - STP PLQ HVAC - Remove Heating Coil.</t>
  </si>
  <si>
    <t>K739234</t>
  </si>
  <si>
    <t>TK836590</t>
  </si>
  <si>
    <t>FSP - W-PAD - Campaign Snow Fence Repairs</t>
  </si>
  <si>
    <t>K-W-PAD-YARD</t>
  </si>
  <si>
    <t>K696059</t>
  </si>
  <si>
    <t>TK866481</t>
  </si>
  <si>
    <t>CMC-Reset NMS-804 &amp; N-45/46/47 lines at N-Pad-AR 18-0116 N-Pad Pipeline Crib Stack Maintenance</t>
  </si>
  <si>
    <t>K652514</t>
  </si>
  <si>
    <t>TK760839</t>
  </si>
  <si>
    <t>FSP  - De-Mobe - L,V,S and Z Pad-GC-2 - Campaign Snow Fence Repairs</t>
  </si>
  <si>
    <t>K471300</t>
  </si>
  <si>
    <t>TK653771</t>
  </si>
  <si>
    <t>FLEX - Partial Replacement - A-Pad Snow Fence Repair North of Access Road</t>
  </si>
  <si>
    <t>K-A-PAD-047-H-A-9310</t>
  </si>
  <si>
    <t>K777182</t>
  </si>
  <si>
    <t>TK866484</t>
  </si>
  <si>
    <t>CMC-Demobe-AR 18-0116 N-Pad Pipeline Crib Stack Maintenance</t>
  </si>
  <si>
    <t>K670791</t>
  </si>
  <si>
    <t>TK776941</t>
  </si>
  <si>
    <t>FSP - FS2 Module 4941 - CF - 4102 Has Core Leak</t>
  </si>
  <si>
    <t>K-FS2-4941-CF-4102</t>
  </si>
  <si>
    <t>WS</t>
  </si>
  <si>
    <t>K569313</t>
  </si>
  <si>
    <t>TK800242</t>
  </si>
  <si>
    <t>CMC -GC3-460-CRN-03-7003 -Hoist air motor has bad vibration and noise when running</t>
  </si>
  <si>
    <t>K-GC3-460-CRN-03-7003</t>
  </si>
  <si>
    <t>K413138</t>
  </si>
  <si>
    <t>TK777575</t>
  </si>
  <si>
    <t>CMC-GMT-Instal-Mob up-PBOC-WWTP Fab &amp; Install platforms to maintain fans</t>
  </si>
  <si>
    <t>K-SEWAGE-4901-102</t>
  </si>
  <si>
    <t>K671502</t>
  </si>
  <si>
    <t>TK777602</t>
  </si>
  <si>
    <t>CMC-GMT-De Mob-PBOC-WWTP Fab &amp; Install platforms to maintain fans</t>
  </si>
  <si>
    <t>K761258</t>
  </si>
  <si>
    <t>TK853892</t>
  </si>
  <si>
    <t>CMC-GMT - Remove/Install Hoist on Crane</t>
  </si>
  <si>
    <t>K-GC3-461-CRN-03-7005</t>
  </si>
  <si>
    <t>K417247</t>
  </si>
  <si>
    <t>TK748141</t>
  </si>
  <si>
    <t>CMC - pull cover to inspect - STP-4923-SF-23-16FN Leaking Glycol</t>
  </si>
  <si>
    <t>K-STP-4923-SF-23-16FN</t>
  </si>
  <si>
    <t>K765728</t>
  </si>
  <si>
    <t>TK861469</t>
  </si>
  <si>
    <t>CMC-GMT-Demo water tank in FS3 Maint Shop</t>
  </si>
  <si>
    <t>K-FS3-4943</t>
  </si>
  <si>
    <t>K612975</t>
  </si>
  <si>
    <t>TK725885</t>
  </si>
  <si>
    <t>FLEX - Removal &amp; Transport - GC1 Skid 525 - Fan 9911E2 - Repair Broken Trash Screen</t>
  </si>
  <si>
    <t>K-GC1-525-FN-01-9911E2</t>
  </si>
  <si>
    <t>K569475</t>
  </si>
  <si>
    <t>TK725882</t>
  </si>
  <si>
    <t>FLEX - Transport &amp; Reinstall - GC1 Skid 525 - Fan 9911E2 - Repair Broken Trash Screen</t>
  </si>
  <si>
    <t>GC1-ELEC</t>
  </si>
  <si>
    <t>K506703</t>
  </si>
  <si>
    <t>TK683480</t>
  </si>
  <si>
    <t>FLEX -  Line Lift &amp; Crib - DS02 - B CL Saddle is Slid Off 46+96 &amp; Common Line Resting on HSM</t>
  </si>
  <si>
    <t>K-DS02-5002-1711-CP-01</t>
  </si>
  <si>
    <t>K565430</t>
  </si>
  <si>
    <t>TK684193</t>
  </si>
  <si>
    <t>FLEX - Saddle Reset - DS02 - B CL Saddle is Slid Off 46+96 &amp; Common Line Resting on HSM</t>
  </si>
  <si>
    <t>K737224</t>
  </si>
  <si>
    <t>TK832806</t>
  </si>
  <si>
    <t>CMC-W-Pad_W-45GLT_HSM_Tab-BOLT ON OPTION</t>
  </si>
  <si>
    <t>K-W-PAD-YARD-WLN-W-45GLT</t>
  </si>
  <si>
    <t>FABS-GMT</t>
  </si>
  <si>
    <t>K687875</t>
  </si>
  <si>
    <t>TK797564</t>
  </si>
  <si>
    <t>FSP - WGI Supply #3 saddle off of support at 12+53</t>
  </si>
  <si>
    <t>K-NWAGI-5011-FLN-CCP_WGI_NGI</t>
  </si>
  <si>
    <t>K736941</t>
  </si>
  <si>
    <t>TK832586</t>
  </si>
  <si>
    <t>P# 161297 P#162840  CMC-Reinstall anchor-DS16-11 FLOW LINE ANCHOR</t>
  </si>
  <si>
    <t>K496741</t>
  </si>
  <si>
    <t>TK740591</t>
  </si>
  <si>
    <t>FSP - Reset Saddles - WGI Supply Line #2 &amp; #3 Saddles Off of VSM at Locations</t>
  </si>
  <si>
    <t>K-NWAGI-5000-1004-FV-6601</t>
  </si>
  <si>
    <t>K537912</t>
  </si>
  <si>
    <t>TK660049</t>
  </si>
  <si>
    <t>HWSP# 108855 BCP# 209805 CMC - Install Panel  PBOC Water Treatment SWB-250 Backwash PLC Replacement (MOC)</t>
  </si>
  <si>
    <t>K-WATER-4901-75-104-P</t>
  </si>
  <si>
    <t>K769880</t>
  </si>
  <si>
    <t>TK860817</t>
  </si>
  <si>
    <t>CMC-GMT BUILD/REMOVE HOOCHS AT WELL HOUSES AND VSM BEHIND F-09</t>
  </si>
  <si>
    <t>K-F-PAD-WH10-HYPU-F-0010</t>
  </si>
  <si>
    <t>K769407</t>
  </si>
  <si>
    <t>TK860492</t>
  </si>
  <si>
    <t>CMC-Mob up-FS3 -Bridge Towards 4920  - Needs Grating Repair/Replace</t>
  </si>
  <si>
    <t>K-FS3-5000</t>
  </si>
  <si>
    <t>K775190</t>
  </si>
  <si>
    <t>TK865786</t>
  </si>
  <si>
    <t>FSP, MOBE-FS3 14-1491 Broach Heater Follow-Up Repairs</t>
  </si>
  <si>
    <t>K-FS3-4919-14-1491</t>
  </si>
  <si>
    <t>K775192</t>
  </si>
  <si>
    <t>TK865791</t>
  </si>
  <si>
    <t>FSP, outside box work, CRANE, (access to broach, IH and remove end covers, clean U-bends)-FS3 14-1491 Broach Heater Follow-Up Repairs</t>
  </si>
  <si>
    <t>K774624</t>
  </si>
  <si>
    <t>TK864948</t>
  </si>
  <si>
    <t>FSP, INSIDE BOX (Prep pipes inside, clean up area for detailed inspection)-</t>
  </si>
  <si>
    <t>K775209</t>
  </si>
  <si>
    <t>TK865823</t>
  </si>
  <si>
    <t>FSP- (Replace end covers, gaskets, QC, install man way)-FS3 14-1491 Broach Heater Follow-Up Repairs</t>
  </si>
  <si>
    <t>K775222</t>
  </si>
  <si>
    <t>TK865825</t>
  </si>
  <si>
    <t>FSP, UNBLIND fuel gas-FS3 14-1491 Broach Heater Follow-Up Repairs</t>
  </si>
  <si>
    <t>K776227</t>
  </si>
  <si>
    <t>TK865826</t>
  </si>
  <si>
    <t>FSP, Demobe-FS3 14-1491 Broach Heater Follow-Up Repairs</t>
  </si>
  <si>
    <t>K748700</t>
  </si>
  <si>
    <t>TK844754</t>
  </si>
  <si>
    <t>FSP Lift/Pull &amp; Re-Bolt - DS11 - Re-align the Bolt Holes in Both HSM/VSM Plates &amp; Replace Bolts at VSM 001+29-00D - AR 17-670</t>
  </si>
  <si>
    <t>K-DS11-4941</t>
  </si>
  <si>
    <t>K781492</t>
  </si>
  <si>
    <t>TK870110</t>
  </si>
  <si>
    <t>CMC, (install all header insul, economiser cover and blks)-FS3 14-1491 Broach Heater Follow-Up Repairs</t>
  </si>
  <si>
    <t>P# 293092 FSP - Sante Fe Pad - Wash Bay - Repair/Replace Exit Door</t>
  </si>
  <si>
    <t>K778415</t>
  </si>
  <si>
    <t>TK867522</t>
  </si>
  <si>
    <t>CMC-GMT-PA &amp; firewatch support-BOC-Annex 1 ? Cut open tank for access by removing the end</t>
  </si>
  <si>
    <t>K-ANX1-ALL</t>
  </si>
  <si>
    <t>OFFSITE WORK</t>
  </si>
  <si>
    <t>K769173</t>
  </si>
  <si>
    <t>TK870140</t>
  </si>
  <si>
    <t>CMC, support welder &amp; install trash screen-Fab and install refurbished trash screen -CPS Skid 142 Fan # 4202 Repair/ Weld Access Hatch Opening Repair</t>
  </si>
  <si>
    <t>K-CPS-142-MFN-17-4202</t>
  </si>
  <si>
    <t>Not Ready</t>
  </si>
  <si>
    <t>3/21/2019</t>
  </si>
  <si>
    <t>K773142</t>
  </si>
  <si>
    <t>TK863263</t>
  </si>
  <si>
    <t>CMC - INSTALL LIFT BEAMS (MECH work)</t>
  </si>
  <si>
    <t>K-GC2-433-FN-02-9553B</t>
  </si>
  <si>
    <t>K623940</t>
  </si>
  <si>
    <t>TK860485</t>
  </si>
  <si>
    <t>CMC-remove and replace grating and fire watch-FS3 -Bridge Towards 4920  - Needs Grating Repair/Replace</t>
  </si>
  <si>
    <t>K769410</t>
  </si>
  <si>
    <t>TK860495</t>
  </si>
  <si>
    <t>CMC-De mob-FS3 -Bridge Towards 4920  - Needs Grating Repair/Replace</t>
  </si>
  <si>
    <t>K351008</t>
  </si>
  <si>
    <t>TK660892</t>
  </si>
  <si>
    <t>CMC - GC-3 Skid 8A - Door Coming Apart - Needs Replaced</t>
  </si>
  <si>
    <t>K-GC3-008A-BL-03-0801A</t>
  </si>
  <si>
    <t>K725089</t>
  </si>
  <si>
    <t>TK841815</t>
  </si>
  <si>
    <t>DS-12 "C" C/L Saddle on VSM 94+77A - Reinstall Saddle</t>
  </si>
  <si>
    <t>K-DS12</t>
  </si>
  <si>
    <t>4/4/2019</t>
  </si>
  <si>
    <t>K726769</t>
  </si>
  <si>
    <t>TK823978</t>
  </si>
  <si>
    <t>CMC-GMT SUPPORT F-Pad: OPEN UTILADOR BEHIND WH-09 AND TRENCH TO VSM BEHIND WH</t>
  </si>
  <si>
    <t>K484183</t>
  </si>
  <si>
    <t>TK612642</t>
  </si>
  <si>
    <t>CMC - Prework - GC2 Sk 10 Replace 10" OS&amp;Y Fire Water Valve</t>
  </si>
  <si>
    <t>K-GC2-010-AHOA-02-0015</t>
  </si>
  <si>
    <t>K444694</t>
  </si>
  <si>
    <t>TK612624</t>
  </si>
  <si>
    <t>Lift-165225 CMC ? Valve Swap - GC2 Sk 10 Replace 10" OS&amp;Y Fire Water Valve</t>
  </si>
  <si>
    <t>K-GC2-010-HV-02-0010</t>
  </si>
  <si>
    <t>K540110</t>
  </si>
  <si>
    <t>TK661818</t>
  </si>
  <si>
    <t>HWSP# 123827 CMC - GC-2 Skid 460 - Install Lifting Beams on FN-02-7001A</t>
  </si>
  <si>
    <t>K-GC2-460-FN-02-7001A</t>
  </si>
  <si>
    <t>TAR2019</t>
  </si>
  <si>
    <t>K727564</t>
  </si>
  <si>
    <t>TK824647</t>
  </si>
  <si>
    <t>CMC-Mob up-GC2 407 - PW Drain line 5948X Removal</t>
  </si>
  <si>
    <t>K-GC2-407-ACB-02-071101</t>
  </si>
  <si>
    <t>K772030</t>
  </si>
  <si>
    <t>TK862604</t>
  </si>
  <si>
    <t>PIPE-Mobe-up, Erect Work Platform-AR 18-0328 GC3 Skid 24B Envirovac Truck Connection Line 24B-EUL Replacement</t>
  </si>
  <si>
    <t>K-GC3-024B-VSS-03-0007</t>
  </si>
  <si>
    <t>BP05-K-GPB-GC3#253106</t>
  </si>
  <si>
    <t>K758306</t>
  </si>
  <si>
    <t>TK862670</t>
  </si>
  <si>
    <t>PIPE-demo &amp; replace 2" envirovac drain line-AR 18-0328 GC3 Skid 24B Envirovac Truck Connection Line 24B-EUL</t>
  </si>
  <si>
    <t>K727824</t>
  </si>
  <si>
    <t>TK824855</t>
  </si>
  <si>
    <t>PIPE-SCAF - GC-1, 17-579, GT-38, Grind and Blend</t>
  </si>
  <si>
    <t>K682482</t>
  </si>
  <si>
    <t>TK824853</t>
  </si>
  <si>
    <t>PIPE- GC-1, 17-579, GT-38, Grind and Blend</t>
  </si>
  <si>
    <t>K727913</t>
  </si>
  <si>
    <t>TK824920</t>
  </si>
  <si>
    <t>PIPE REINSULATE - GC-1, 17-579, GT-38, Grind and Blend</t>
  </si>
  <si>
    <t>K735982</t>
  </si>
  <si>
    <t>TK831833</t>
  </si>
  <si>
    <t>PIPE-SCAF REMOVE- GC-1, 17-579, GT-38, Grind and Blend</t>
  </si>
  <si>
    <t>BP05-K-GPB-FS1#275115</t>
  </si>
  <si>
    <t>K779488</t>
  </si>
  <si>
    <t>TK868485</t>
  </si>
  <si>
    <t>K-GC2-YARD</t>
  </si>
  <si>
    <t>K779472</t>
  </si>
  <si>
    <t>TK868440</t>
  </si>
  <si>
    <t>K779490</t>
  </si>
  <si>
    <t>TK868483</t>
  </si>
  <si>
    <t>K772845</t>
  </si>
  <si>
    <t>TK863072</t>
  </si>
  <si>
    <t>PIPE-Mobe Up / Cut &amp; Replace piping AR 18-0039/0038 DS12 Well 18 A/L</t>
  </si>
  <si>
    <t>K-DS12-WH18</t>
  </si>
  <si>
    <t>K779497</t>
  </si>
  <si>
    <t>TK868487</t>
  </si>
  <si>
    <t>K699963</t>
  </si>
  <si>
    <t>TK863073</t>
  </si>
  <si>
    <t>PIPE-cut out &amp; replace piping-AR 18-0039/0038 DS12 Well 18 A/L Cut out and Replace.</t>
  </si>
  <si>
    <t>K772847</t>
  </si>
  <si>
    <t>TK863075</t>
  </si>
  <si>
    <t>PIPE-Reinsulate-AR 18-0039/0038 DS12 Well 18 A/L</t>
  </si>
  <si>
    <t>K781408</t>
  </si>
  <si>
    <t>TK870029</t>
  </si>
  <si>
    <t>PIPE-AR 17-392 GLT-24 ARc Strike at Station E-3485'07"***Work Order Replaces K641859 **** Wrong Location***</t>
  </si>
  <si>
    <t>K772848</t>
  </si>
  <si>
    <t>TK863076</t>
  </si>
  <si>
    <t>PIPE-Demobe-AR 18-0039/0038 DS12 Well 18 A/L</t>
  </si>
  <si>
    <t>K772213</t>
  </si>
  <si>
    <t>TK862639</t>
  </si>
  <si>
    <t>PIPE-Demob, GC3 Skid 24B Envirovac Truck Connection Line 24B-EUL Replacement</t>
  </si>
  <si>
    <t>BP05-K-GPB-GC1#299484</t>
  </si>
  <si>
    <t>BP05-K-CGF#208457</t>
  </si>
  <si>
    <t>IsolationInPlaceForLongTerm</t>
  </si>
  <si>
    <t>K776198</t>
  </si>
  <si>
    <t>TK865755</t>
  </si>
  <si>
    <t>PIPE-PRE WORK-AR 17-451, L-Pad LDF Pigging Motive Gas Line 01664-FND7, Snap Wrap Install at location 002.0D</t>
  </si>
  <si>
    <t>K-L-PAD-YARD-CLN-01660-FND7</t>
  </si>
  <si>
    <t>K776196</t>
  </si>
  <si>
    <t>TK865753</t>
  </si>
  <si>
    <t>Pipe-Install clockspring-AR 17-451, L-Pad LDF Pigging Motive Gas Line 01664-FND7, Snap Wrap Install at location 002.0D</t>
  </si>
  <si>
    <t>K-L-PAD-YARD</t>
  </si>
  <si>
    <t>K677469</t>
  </si>
  <si>
    <t>TK783024</t>
  </si>
  <si>
    <t>PIPE - PMP 13-296: GC2 - Demolition Phase 1 - GC2 Yard  Aband TL-21 24"</t>
  </si>
  <si>
    <t>K-GC2-YARD-OTL-21</t>
  </si>
  <si>
    <t>K776199</t>
  </si>
  <si>
    <t>TK865756</t>
  </si>
  <si>
    <t>PIPE-Reinsulate and Postwork-AR 17-451, L-Pad LDF Pigging Motive Gas Line 01664-FND7, Snap Wrap Install at location 002.0D</t>
  </si>
  <si>
    <t>3/28/2019</t>
  </si>
  <si>
    <t>K711040</t>
  </si>
  <si>
    <t>TK828765</t>
  </si>
  <si>
    <t>PIPE - G&amp;B - GC-1, AR 18-0156, B-90, Grind and Blend</t>
  </si>
  <si>
    <t>K-B-PAD-YARD-FLN-B-90</t>
  </si>
  <si>
    <t>K739721</t>
  </si>
  <si>
    <t>TK835028</t>
  </si>
  <si>
    <t>PIPE-GC-1 AA, 18-0152 GC3/GC2MI, Grind and Blend</t>
  </si>
  <si>
    <t>K-GC1-XCTRY-HV-01-0552</t>
  </si>
  <si>
    <t>BP05-K-GPB-FS2#190921</t>
  </si>
  <si>
    <t>BPSECONDARYAMDC-K-GPB-FS2#128601</t>
  </si>
  <si>
    <t>K688019</t>
  </si>
  <si>
    <t>TK792315</t>
  </si>
  <si>
    <t>HWOF-231509 PIPE-Install Sleeve-J-pad: ADEC, PMP 16-509, J-74, STA. 12236-12238, MCH DMG (DENTW/GOUGE)</t>
  </si>
  <si>
    <t>K-J-PAD-YARD-FLN-J-74</t>
  </si>
  <si>
    <t>H2OWASH</t>
  </si>
  <si>
    <t>K688084</t>
  </si>
  <si>
    <t>TK792369</t>
  </si>
  <si>
    <t>Pipe-Mob up-PMP 16-543, GT-38, Sta. B-8337'07", Mech Damage (Arc Burn)</t>
  </si>
  <si>
    <t>K-PLGAS-5000-GASGATHERINGLINES</t>
  </si>
  <si>
    <t>K688083</t>
  </si>
  <si>
    <t>TK792368</t>
  </si>
  <si>
    <t>PIPE-Grind &amp; Blend-AR 17-544, PMP 16-543, GT-38, Sta. B-8337'07", Mech Damage (Arc Burn)</t>
  </si>
  <si>
    <t>K688087</t>
  </si>
  <si>
    <t>TK792371</t>
  </si>
  <si>
    <t>Pipe-Re insulate-PMP 16-543, GT-38, Sta. B-8337'07", Mech Damage (Arc Burn)</t>
  </si>
  <si>
    <t>K688088</t>
  </si>
  <si>
    <t>TK792372</t>
  </si>
  <si>
    <t>Pipe-De mob-PMP 16-543, GT-38, Sta. B-8337'07", Mech Damage (Arc Burn)</t>
  </si>
  <si>
    <t>K689586</t>
  </si>
  <si>
    <t>TK808656</t>
  </si>
  <si>
    <t>FSP - Replace Gasket &amp; Clean Shell - GC2 Skid 407 - E-501A Emulsion Heater Gasket Leak - LOPC</t>
  </si>
  <si>
    <t>K-GC2-407-E-02-0501A</t>
  </si>
  <si>
    <t>CAN</t>
  </si>
  <si>
    <t>TANK-GMT</t>
  </si>
  <si>
    <t>BP05-K-GPB-GC2#299729</t>
  </si>
  <si>
    <t>K682235</t>
  </si>
  <si>
    <t>TK787122</t>
  </si>
  <si>
    <t>PIPE-SCAF UP-ADEC PMP 16-599, N-22GLT Well Line, Sta. 85.22D, Arc Burn</t>
  </si>
  <si>
    <t>COMP</t>
  </si>
  <si>
    <t>K682238</t>
  </si>
  <si>
    <t>TK787124</t>
  </si>
  <si>
    <t>PIPE-SCAF DOWN-ADEC PMP 16-599, N-22GLT Well Line, Sta. 85.22D, Arc Burn</t>
  </si>
  <si>
    <t>Permit 1 Link</t>
  </si>
  <si>
    <t>Permit 1</t>
  </si>
  <si>
    <t>Permit 2 Link</t>
  </si>
  <si>
    <t>Permit 2</t>
  </si>
  <si>
    <t>Permit 3 Link</t>
  </si>
  <si>
    <t>Permit 3</t>
  </si>
  <si>
    <t>Permit 4 Link</t>
  </si>
  <si>
    <t>Permit 4</t>
  </si>
  <si>
    <t>Permit 5 Link</t>
  </si>
  <si>
    <t>Permit 5</t>
  </si>
  <si>
    <t>Permit 6 Link</t>
  </si>
  <si>
    <t>Permit 6</t>
  </si>
  <si>
    <t/>
  </si>
  <si>
    <t>Permit1</t>
  </si>
  <si>
    <t>Permit2</t>
  </si>
  <si>
    <t>Permit3</t>
  </si>
  <si>
    <t>Permit4</t>
  </si>
  <si>
    <t>Permit5</t>
  </si>
  <si>
    <t>Permit6</t>
  </si>
  <si>
    <t>BP05-K-GPB-GC3#268618</t>
  </si>
  <si>
    <t>BP05-K-GPB-FS3#300178</t>
  </si>
  <si>
    <t>BP05-K-GPB-STP#278830</t>
  </si>
  <si>
    <t>BP05-K-GPB-STP#210809</t>
  </si>
  <si>
    <t>BP05-K-GPB-STP#210750</t>
  </si>
  <si>
    <t>DesignComplete</t>
  </si>
  <si>
    <t>BP05-K-CGF#300055</t>
  </si>
  <si>
    <t>Job Cancled Not Going Inside Broach</t>
  </si>
  <si>
    <t>I don’t Belive We are doing this work</t>
  </si>
  <si>
    <t>Don’t need to do this Job Derlect Permit Deleted</t>
  </si>
  <si>
    <t>Verified 1/12</t>
  </si>
  <si>
    <t>Called AA And Got Rolled To verfied 1/12</t>
  </si>
  <si>
    <t>Approved-Level1)</t>
  </si>
  <si>
    <t>Authorised-Level1)</t>
  </si>
  <si>
    <t>SuspendedForRevalidation-Level1)</t>
  </si>
  <si>
    <t>Verified-Level1)</t>
  </si>
  <si>
    <t>Verified-Level2)</t>
  </si>
  <si>
    <t>ReadyToVerify-Level1)</t>
  </si>
  <si>
    <t>Requesting-Level2)</t>
  </si>
  <si>
    <t>Requesting-Level1)</t>
  </si>
  <si>
    <t>Closed-Level2)</t>
  </si>
  <si>
    <t>Closed-Level1)</t>
  </si>
  <si>
    <t>Verified 1-13 morning</t>
  </si>
  <si>
    <t>assosiated with existing permit</t>
  </si>
  <si>
    <t>BP05-K-GPB-GC2#278760</t>
  </si>
  <si>
    <t>Closed</t>
  </si>
  <si>
    <t>K776963</t>
  </si>
  <si>
    <t>TK866349</t>
  </si>
  <si>
    <t>Pipe-Mob up and prepare enclosures-F-49 - AJ8 Style Bird Bath Anchor Removal for Further Inspection</t>
  </si>
  <si>
    <t>K-F-PAD-YARD-FLN-F-49</t>
  </si>
  <si>
    <t>K776953</t>
  </si>
  <si>
    <t>TK866340</t>
  </si>
  <si>
    <t>PIPE-Grind and blend-F-49 - AJ8 Style Bird Bath Anchor Removal for Further Inspection</t>
  </si>
  <si>
    <t>K776944</t>
  </si>
  <si>
    <t>TK866328</t>
  </si>
  <si>
    <t>Pipe-Grind and blend-E-46 - AJ8 Style Bird Bath Anchor Removal for Further Inspection</t>
  </si>
  <si>
    <t>K-E-PAD-YARD-FLN-E-46</t>
  </si>
  <si>
    <t>K776950</t>
  </si>
  <si>
    <t>TK866337</t>
  </si>
  <si>
    <t>PIPE- Grind and blend-A-49 - AJ8 Style Bird Bath Anchor Removal for Further Inspection</t>
  </si>
  <si>
    <t>K-A-PAD-YARD-FLN-A-49</t>
  </si>
  <si>
    <t>K769818</t>
  </si>
  <si>
    <t>TK868265</t>
  </si>
  <si>
    <t>Pipe-Prework-AR 17-408: DS11-13AL - Pipe Replacement &amp; VSM cut &amp; pup repair</t>
  </si>
  <si>
    <t>K-DS11-5011-WH11-0013</t>
  </si>
  <si>
    <t>K653416</t>
  </si>
  <si>
    <t>TK860784</t>
  </si>
  <si>
    <t>PIPE-AL cut out/VSM Repair-AR 17-408: DS11-13AL - Pipe Replacement &amp; VSM cut &amp; pup repair</t>
  </si>
  <si>
    <t>K-DS11-5011-WLN-11-13AL</t>
  </si>
  <si>
    <t>K769822</t>
  </si>
  <si>
    <t>TK862275</t>
  </si>
  <si>
    <t>Pipe-Post work &amp; Reinsulate tie in points-AR 17-408: DS11-13AL - Pipe Replacement &amp; VSM cut &amp; pup repair</t>
  </si>
  <si>
    <t>Covered under Install Permit #221884 (Verified)</t>
  </si>
  <si>
    <t>L2 #245658</t>
  </si>
  <si>
    <t>Permits1</t>
  </si>
  <si>
    <t>Email Sent</t>
  </si>
  <si>
    <t>Waiting on IDP Status</t>
  </si>
  <si>
    <t>N-Pad Mobe/Demobe P#300518 Need to Walk</t>
  </si>
  <si>
    <t>Permit #300583 made for job 1/13/19 Need to Walk</t>
  </si>
  <si>
    <t>Draft Made #300621 need to walk</t>
  </si>
  <si>
    <t>Verified</t>
  </si>
  <si>
    <t xml:space="preserve">Email Sent to AA 1/14 </t>
  </si>
  <si>
    <t>Email Sent to AA 1/14</t>
  </si>
  <si>
    <t xml:space="preserve">Email Sent To AA 1/14 </t>
  </si>
  <si>
    <t>Sent Email to AA 1/14 (IDP Still Wrong State)</t>
  </si>
  <si>
    <t>Sent Email to AA (IDP still Not rignt)</t>
  </si>
  <si>
    <t>Sent Email to AA (IDP still Not Right)</t>
  </si>
  <si>
    <t>Email Sent TO AA 1/14</t>
  </si>
  <si>
    <t>BP05-K-GPB-CPS#292397</t>
  </si>
  <si>
    <t>K779854</t>
  </si>
  <si>
    <t>TK868761</t>
  </si>
  <si>
    <t>CMC-GMT-Water Wash/Snow Removal-AR 17-1036 Install Shims on PTM02 and PM02-SWI Pipelines</t>
  </si>
  <si>
    <t>K-PLLISB-5000</t>
  </si>
  <si>
    <t>K752827</t>
  </si>
  <si>
    <t>TK868699</t>
  </si>
  <si>
    <t>CMC-GMT-AR 17-1036 Install Shims on PTM02 and PM02-SWI Pipelines</t>
  </si>
  <si>
    <t>BP05-K-GPB#238858</t>
  </si>
  <si>
    <t>K786984</t>
  </si>
  <si>
    <t>TK874891</t>
  </si>
  <si>
    <t>Pipe-GC1 AR 18-0248  Sk 451, "B" S/C Sandjet 4" Flush Line Piping Pinhole Leak</t>
  </si>
  <si>
    <t>K-GC1-451-V-01-7000</t>
  </si>
  <si>
    <t>K783016</t>
  </si>
  <si>
    <t>TK871673</t>
  </si>
  <si>
    <t>Post work-GC1 AR 18-0248  Sk 451, "B" S/C Sandjet 4" Flush Line Piping Pinhole Leak</t>
  </si>
  <si>
    <t>Draft L1 Made #300820</t>
  </si>
  <si>
    <t>Parent</t>
  </si>
  <si>
    <t>BP05-K-GPB-FS2#300896</t>
  </si>
  <si>
    <t>K781527</t>
  </si>
  <si>
    <t>TK873881</t>
  </si>
  <si>
    <t>CMC, cut welds and remove trash screen-Fab and install refurbished trash screen -CPS Skid 142 Fan # 4202 Repair/ Weld Access Hatch Opening Repair</t>
  </si>
  <si>
    <t>K769232</t>
  </si>
  <si>
    <t>TK860664</t>
  </si>
  <si>
    <t>Pipe-Waterwash--AR 18-265: WL 04-22 Pressure Sleeve Repair due to CUI</t>
  </si>
  <si>
    <t>K-DS04-5004-WLN-04-22</t>
  </si>
  <si>
    <t>K769228</t>
  </si>
  <si>
    <t>TK860345</t>
  </si>
  <si>
    <t>PIPE-PRE-WORK-WL 04-22 Pressure Sleeve Repair due to CUI</t>
  </si>
  <si>
    <t>K769220</t>
  </si>
  <si>
    <t>TK860346</t>
  </si>
  <si>
    <t>PIPE-Install Sleeve-FABS-SHOP FIT-AR 18-265: WL 04-22 Pressure Sleeve Repair due to CUI</t>
  </si>
  <si>
    <t>K769230</t>
  </si>
  <si>
    <t>TK860348</t>
  </si>
  <si>
    <t>PIPE-ReInsulate-AR 18-265: WL 04-22 Pressure Sleeve Repair due to CUI</t>
  </si>
  <si>
    <t>K769231</t>
  </si>
  <si>
    <t>TK860349</t>
  </si>
  <si>
    <t>PIPE-POST WORK-FABS-SHOP FIT-AR 18-265: WL 04-22 Pressure Sleeve Repair due to CUI</t>
  </si>
  <si>
    <t>K776232</t>
  </si>
  <si>
    <t>TK865798</t>
  </si>
  <si>
    <t>CMC - Installation - WSW Skid 72 - IFC Lifting Beam - MFN-51-3333A</t>
  </si>
  <si>
    <t>K-WSW-072-FN-51-3333A</t>
  </si>
  <si>
    <t>4/11/2019</t>
  </si>
  <si>
    <t>K727562</t>
  </si>
  <si>
    <t>TK824645</t>
  </si>
  <si>
    <t>CMC-GMT-Demo pipe-GC2 407 - PW Drain line 5948X Removal</t>
  </si>
  <si>
    <t>K687232</t>
  </si>
  <si>
    <t>TK791766</t>
  </si>
  <si>
    <t>FSP - Mobe-Up - GC1 Skid 461 - Suction &amp; Discharge  Valve Stem  Leak When Closed</t>
  </si>
  <si>
    <t>K-GC1-461-P-01-7008</t>
  </si>
  <si>
    <t>SHUTDOWN</t>
  </si>
  <si>
    <t>K398909</t>
  </si>
  <si>
    <t>TK791764</t>
  </si>
  <si>
    <t>FSP - Replace - GC1 Skid 461 - P-7008  Discharge Valve Stem  Leak</t>
  </si>
  <si>
    <t>K672836</t>
  </si>
  <si>
    <t>TK791765</t>
  </si>
  <si>
    <t>FSP - Replace - GC1 Skid 461 - P-7001 Discharge Valve  Stem  Leaking</t>
  </si>
  <si>
    <t>K-GC1-461-P-01-7001</t>
  </si>
  <si>
    <t>K727566</t>
  </si>
  <si>
    <t>TK824649</t>
  </si>
  <si>
    <t>CMC-De mob-GC2 407 - PW Drain line 5948X Removal</t>
  </si>
  <si>
    <t>K659041</t>
  </si>
  <si>
    <t>TK791745</t>
  </si>
  <si>
    <t>FSP - Replace - GC1 Skid 461 - P-7008  Suction Valve Stem  Leak</t>
  </si>
  <si>
    <t>K687236</t>
  </si>
  <si>
    <t>TK791767</t>
  </si>
  <si>
    <t>FSP - De-Mobe - GC1 Skid 461 - Suction &amp; Discharge  Valve Stem  Leak When Closed</t>
  </si>
  <si>
    <t>K726773</t>
  </si>
  <si>
    <t>TK823979</t>
  </si>
  <si>
    <t>CMC-GMT SUPPORT F-Pad: REINSTALL UTILADOR AND COVER TRENCH</t>
  </si>
  <si>
    <t>K709630</t>
  </si>
  <si>
    <t>TK810123</t>
  </si>
  <si>
    <t>FSP - Replace Skid 141 Arctic Man Door</t>
  </si>
  <si>
    <t>K-CPS-141-ACB-17-4101</t>
  </si>
  <si>
    <t>K688022</t>
  </si>
  <si>
    <t>TK792318</t>
  </si>
  <si>
    <t>P# 156532 PIPE-ReInsulate J-pad: ADEC, PMP 16-509, J-74, STA. 12236-12238, MCH DMG (DENTW/GOUGE)</t>
  </si>
  <si>
    <t>SUH</t>
  </si>
  <si>
    <t>K738880</t>
  </si>
  <si>
    <t>TK834274</t>
  </si>
  <si>
    <t>PIPE-Mobe Up-AR 18-0259 SIP Mod 4930 42" Discharge Header for Booster Pumps</t>
  </si>
  <si>
    <t>K-SIP-4930-13301</t>
  </si>
  <si>
    <t>K665205</t>
  </si>
  <si>
    <t>TK823896</t>
  </si>
  <si>
    <t>Pipe - AR 17-931 B-804 Staion 405.12D Grind and Blend</t>
  </si>
  <si>
    <t>K-B-PAD-YARD-FLN-BX-804</t>
  </si>
  <si>
    <t>K688023</t>
  </si>
  <si>
    <t>TK792319</t>
  </si>
  <si>
    <t>P# 156532 PIPE-POST-WORK-J-pad: ADEC, PMP 16-509, J-74, STA. 12236-12238, MCH DMG (DENTW/GOUGE)</t>
  </si>
  <si>
    <t>K734705</t>
  </si>
  <si>
    <t>TK834275</t>
  </si>
  <si>
    <t>PIPE-Install Sleeve-AR 18-0259 SIP Mod 4930 42" Discharge Header for Booster Pumps</t>
  </si>
  <si>
    <t>BP05-K-GPB-SIP#287882</t>
  </si>
  <si>
    <t>K726702</t>
  </si>
  <si>
    <t>TK823904</t>
  </si>
  <si>
    <t>Pipe - Reinsulate - AR 17-931 B-804 Staion 405.12D Grind and Blend</t>
  </si>
  <si>
    <t>K718662</t>
  </si>
  <si>
    <t>TK858596</t>
  </si>
  <si>
    <t>PIpe- Bolt up-Mod 4938 Sump 1981 Discharge Line repair AR 17-937</t>
  </si>
  <si>
    <t>K-CGF-4938-19-1981</t>
  </si>
  <si>
    <t xml:space="preserve"> 
K-GPB-GC2#239085</t>
  </si>
  <si>
    <t xml:space="preserve"> 
K-GPB-GC3#294837</t>
  </si>
  <si>
    <t xml:space="preserve"> 
K-GPB-GC3#298770</t>
  </si>
  <si>
    <t xml:space="preserve"> 
K-GPB-FS3#291199</t>
  </si>
  <si>
    <t xml:space="preserve"> 
K-GPB-FS3#298579</t>
  </si>
  <si>
    <t xml:space="preserve"> 
K-GPB-GC2#298222</t>
  </si>
  <si>
    <t xml:space="preserve"> 
K-GPB-GC2#298224</t>
  </si>
  <si>
    <t xml:space="preserve"> 
K-GPB-GC2#298223</t>
  </si>
  <si>
    <t xml:space="preserve"> 
K-GPB-GC2#299564</t>
  </si>
  <si>
    <t xml:space="preserve"> 
K-GPB-GC2#298228</t>
  </si>
  <si>
    <t xml:space="preserve"> 
K-GPB-GC2#274418</t>
  </si>
  <si>
    <t xml:space="preserve"> 
K-GPB-GC2#298918</t>
  </si>
  <si>
    <t xml:space="preserve"> 
K-GPB-GC2#298217</t>
  </si>
  <si>
    <t xml:space="preserve"> 
K-GPB-GC2#298773</t>
  </si>
  <si>
    <t xml:space="preserve"> 
K-GPB-GC2#298835</t>
  </si>
  <si>
    <t xml:space="preserve"> 
K-GPB-FS3#296732</t>
  </si>
  <si>
    <t xml:space="preserve"> 
K-GPB-GC2#298218</t>
  </si>
  <si>
    <t xml:space="preserve"> 
K-CGF#299563</t>
  </si>
  <si>
    <t xml:space="preserve"> 
K-GPB-FS2#299109</t>
  </si>
  <si>
    <t xml:space="preserve"> 
K-GPB-GC2#298219</t>
  </si>
  <si>
    <t xml:space="preserve"> 
K-GPB-GC2#299196</t>
  </si>
  <si>
    <t xml:space="preserve"> 
K-GPB-GC2#299197</t>
  </si>
  <si>
    <t xml:space="preserve"> 
K-GPB#262811</t>
  </si>
  <si>
    <t xml:space="preserve"> 
K-GPB-GC2#300518</t>
  </si>
  <si>
    <t xml:space="preserve"> 
K-GPB-CPS#259942</t>
  </si>
  <si>
    <t xml:space="preserve"> 
K-GPB-CPS#259946</t>
  </si>
  <si>
    <t xml:space="preserve"> 
K-GPB-GC2#298220</t>
  </si>
  <si>
    <t xml:space="preserve"> 
K-GPB-STP#255943</t>
  </si>
  <si>
    <t xml:space="preserve"> 
K-GPB-STP#256162</t>
  </si>
  <si>
    <t xml:space="preserve"> 
K-GPB-GC2#299565</t>
  </si>
  <si>
    <t xml:space="preserve"> 
K-GPB-FS1#293627</t>
  </si>
  <si>
    <t xml:space="preserve"> 
K-GPB-GC2#293608</t>
  </si>
  <si>
    <t xml:space="preserve"> 
K-GPB-GC3#293342</t>
  </si>
  <si>
    <t xml:space="preserve"> 
K-GPB-GC3#182997</t>
  </si>
  <si>
    <t xml:space="preserve"> 
K-GPB-FS2#280456</t>
  </si>
  <si>
    <t xml:space="preserve"> 
K-GPB-FS2#300730</t>
  </si>
  <si>
    <t xml:space="preserve"> 
K-GPB-STP#106857</t>
  </si>
  <si>
    <t xml:space="preserve"> 
K-GPB-STP#147917</t>
  </si>
  <si>
    <t xml:space="preserve"> 
K-GPB-FS2#295817</t>
  </si>
  <si>
    <t xml:space="preserve"> 
K-GPB-FS2#300820</t>
  </si>
  <si>
    <t xml:space="preserve"> 
K-GPB-GC3#254042</t>
  </si>
  <si>
    <t xml:space="preserve"> 
AKA-CMS#293092</t>
  </si>
  <si>
    <t xml:space="preserve"> 
AKA-CAMPS#221876</t>
  </si>
  <si>
    <t xml:space="preserve"> 
AKA-CAMPS#221884</t>
  </si>
  <si>
    <t xml:space="preserve"> 
K-GPB-GC2#300583</t>
  </si>
  <si>
    <t xml:space="preserve"> 
AKA-CAMPS#300621</t>
  </si>
  <si>
    <t xml:space="preserve"> 
K-GPB-STP#280293</t>
  </si>
  <si>
    <t xml:space="preserve"> 
K-GPB-FS1#288226</t>
  </si>
  <si>
    <t xml:space="preserve"> 
K-GPB-GC2#288298</t>
  </si>
  <si>
    <t xml:space="preserve"> 
K-GPB-FS1#233516</t>
  </si>
  <si>
    <t xml:space="preserve"> 
AKA-CAMPS#209805</t>
  </si>
  <si>
    <t xml:space="preserve"> 
AKA-Camps#108855</t>
  </si>
  <si>
    <t xml:space="preserve"> 
K-GPB-GC3#256313</t>
  </si>
  <si>
    <t xml:space="preserve"> 
K-GPB-GC2#254701</t>
  </si>
  <si>
    <t xml:space="preserve"> 
K-GPB-GC2#241133</t>
  </si>
  <si>
    <t xml:space="preserve"> 
K-GPB-GC2#254707</t>
  </si>
  <si>
    <t xml:space="preserve"> 
K-GPB-GC2#264926</t>
  </si>
  <si>
    <t xml:space="preserve"> 
K-GPB-GC2#264147</t>
  </si>
  <si>
    <t xml:space="preserve"> 
K-GPB-GC2#271580</t>
  </si>
  <si>
    <t xml:space="preserve"> 
K-GPB-GC2#264150</t>
  </si>
  <si>
    <t xml:space="preserve"> 
K-GPB-FS3#273387</t>
  </si>
  <si>
    <t xml:space="preserve"> 
K-GPB-FS3#276093</t>
  </si>
  <si>
    <t xml:space="preserve"> 
K-GPB-FS3#298657</t>
  </si>
  <si>
    <t xml:space="preserve"> 
K-GPB-GC1#276088</t>
  </si>
  <si>
    <t xml:space="preserve"> 
K-GPB-FS3#276098</t>
  </si>
  <si>
    <t xml:space="preserve"> 
K-GPB-GC2#260732</t>
  </si>
  <si>
    <t xml:space="preserve"> 
K-GPB-FS1#266222</t>
  </si>
  <si>
    <t xml:space="preserve"> 
K-GPB-FS3#299351</t>
  </si>
  <si>
    <t xml:space="preserve"> 
K-GPB-GC2#294278</t>
  </si>
  <si>
    <t xml:space="preserve"> 
K-GPB-FS3#283361</t>
  </si>
  <si>
    <t xml:space="preserve"> 
K-GPB-GC2#261307</t>
  </si>
  <si>
    <t xml:space="preserve"> 
K-GPB-FS3#278091</t>
  </si>
  <si>
    <t xml:space="preserve"> 
K-GPB-GC1#294541</t>
  </si>
  <si>
    <t xml:space="preserve"> 
K-GPB-GC2#267860</t>
  </si>
  <si>
    <t xml:space="preserve"> 
K-GPB-GC2#238076</t>
  </si>
  <si>
    <t xml:space="preserve"> 
K-GPB-GC2#268258</t>
  </si>
  <si>
    <t xml:space="preserve"> 
K-GPB-GC2#290830</t>
  </si>
  <si>
    <t xml:space="preserve"> 
K-GPB-FS3#286983</t>
  </si>
  <si>
    <t xml:space="preserve"> 
K-GPB-GC2#238098</t>
  </si>
  <si>
    <t xml:space="preserve"> 
K-GPB-GC2#238618</t>
  </si>
  <si>
    <t xml:space="preserve"> 
K-GPB-GC2#294542</t>
  </si>
  <si>
    <t xml:space="preserve"> 
K-GPB-FS3#290377</t>
  </si>
  <si>
    <t xml:space="preserve"> 
K-GPB-GC2#295165</t>
  </si>
  <si>
    <t xml:space="preserve"> 
K-GPB-SIP#292759</t>
  </si>
  <si>
    <t xml:space="preserve"> 
K-GPB-GC2#272861</t>
  </si>
  <si>
    <t xml:space="preserve"> 
K-GPB-GC3#293631</t>
  </si>
  <si>
    <t xml:space="preserve"> 
K-GPB-GC3#293612</t>
  </si>
  <si>
    <t xml:space="preserve"> 
K-GPB#295878</t>
  </si>
  <si>
    <t xml:space="preserve"> 
K-GPB#296100</t>
  </si>
  <si>
    <t xml:space="preserve"> 
K-GPB-GC1#297552</t>
  </si>
  <si>
    <t xml:space="preserve"> 
K-GPB-GC1#296535</t>
  </si>
  <si>
    <t xml:space="preserve"> 
K-GPB-GC1#297548</t>
  </si>
  <si>
    <t xml:space="preserve"> 
K-GPB-GC2#296743</t>
  </si>
  <si>
    <t xml:space="preserve"> 
K-GPB-GC2#295949</t>
  </si>
  <si>
    <t xml:space="preserve"> 
K-GPB-GC2#295975</t>
  </si>
  <si>
    <t xml:space="preserve"> 
K-GPB-FS1#265653</t>
  </si>
  <si>
    <t xml:space="preserve"> 
K-GPB-FS1#266234</t>
  </si>
  <si>
    <t xml:space="preserve"> 
K-GPB-GC2#295257</t>
  </si>
  <si>
    <t xml:space="preserve"> 
K-GPB-GC1#289619</t>
  </si>
  <si>
    <t xml:space="preserve"> 
K-GPB-GC1#296832</t>
  </si>
  <si>
    <t xml:space="preserve"> 
K-GPB-FS1#296217</t>
  </si>
  <si>
    <t xml:space="preserve"> 
K-GPB-FS1#296220</t>
  </si>
  <si>
    <t xml:space="preserve"> 
K-GPB-FS1#265667</t>
  </si>
  <si>
    <t xml:space="preserve"> 
K-GPB-GC2#294978</t>
  </si>
  <si>
    <t xml:space="preserve"> 
K-GPB-GC3#297078</t>
  </si>
  <si>
    <t xml:space="preserve"> 
K-GPB-GC2#294951</t>
  </si>
  <si>
    <t xml:space="preserve"> 
K-GPB-FS2#282914</t>
  </si>
  <si>
    <t xml:space="preserve"> 
K-GPB-FS2#282973</t>
  </si>
  <si>
    <t xml:space="preserve"> 
K-GPB-GC2#296760</t>
  </si>
  <si>
    <t xml:space="preserve"> 
K-GPB-FS1#296489</t>
  </si>
  <si>
    <t xml:space="preserve"> 
K-GPB-FS1#267782</t>
  </si>
  <si>
    <t xml:space="preserve"> 
K-GPB-FS1#268329</t>
  </si>
  <si>
    <t xml:space="preserve"> 
K-CGF#285244</t>
  </si>
  <si>
    <t xml:space="preserve"> 
K-GPB-GC1#297335</t>
  </si>
  <si>
    <t xml:space="preserve"> 
K-GPB-GC2#297232</t>
  </si>
  <si>
    <t xml:space="preserve"> 
K-CGF#300914</t>
  </si>
  <si>
    <t xml:space="preserve"> 
K-CGF#285183</t>
  </si>
  <si>
    <t xml:space="preserve"> 
K-GPB-GC1#292683</t>
  </si>
  <si>
    <t xml:space="preserve"> 
K-GPB-GC1#271265</t>
  </si>
  <si>
    <t xml:space="preserve"> 
K-GPB-GC1#292686</t>
  </si>
  <si>
    <t xml:space="preserve"> 
K-GPB-GC2#299034</t>
  </si>
  <si>
    <t xml:space="preserve"> 
K-GPB-GC2#197152</t>
  </si>
  <si>
    <t xml:space="preserve"> 
K-GPB-GC1#296753</t>
  </si>
  <si>
    <t xml:space="preserve"> 
K-GPB-GC1#265464</t>
  </si>
  <si>
    <t xml:space="preserve"> 
K-GPB-FS2#261193</t>
  </si>
  <si>
    <t xml:space="preserve"> 
K-GPB-FS2#261141</t>
  </si>
  <si>
    <t xml:space="preserve"> 
K-GPB-FS2#261153</t>
  </si>
  <si>
    <t xml:space="preserve"> 
K-GPB-FS2#298655</t>
  </si>
  <si>
    <t xml:space="preserve"> 
K-GPB-FS2#267335</t>
  </si>
  <si>
    <t xml:space="preserve"> 
K-GPB-GC1#295413</t>
  </si>
  <si>
    <t xml:space="preserve"> 
K-GPB-GC2#231509</t>
  </si>
  <si>
    <t xml:space="preserve"> 
K-GPB-GC2#231537</t>
  </si>
  <si>
    <t xml:space="preserve"> 
K-GPB-SIP#283043</t>
  </si>
  <si>
    <t xml:space="preserve"> 
K-GPB-SIP#268106</t>
  </si>
  <si>
    <t>Crane Crew is PA and we will sign on theirs</t>
  </si>
  <si>
    <t>Talked with AA in person Hopefully he Rolls it to Verify</t>
  </si>
  <si>
    <t>Sent email to AA 1/16</t>
  </si>
  <si>
    <t>Work Pack Made Need to Walk</t>
  </si>
  <si>
    <t>Covered under First Stage Job</t>
  </si>
  <si>
    <t>Don’t Know if thios job is complete or not There is a Old Permit in system</t>
  </si>
  <si>
    <t>Water Wash/ Hooch repair Permit</t>
  </si>
  <si>
    <t>L2  #244167 Need HWSP permit for possible strip</t>
  </si>
  <si>
    <t>L2 #245657 Need HWSP permit for possible strip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</si>
</sst>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Fill="1"/>
    <xf numFmtId="14" fontId="0" fillId="0" borderId="0" xfId="0" applyNumberFormat="1" applyFill="1"/>
    <xf numFmtId="49" fontId="0" fillId="0" borderId="0" xfId="0" applyNumberFormat="1" applyFill="1"/>
    <xf numFmtId="0" fontId="0" fillId="0" borderId="0" xfId="0" applyNumberFormat="1" applyFill="1"/>
    <xf numFmtId="0" fontId="1" fillId="0" borderId="0" xfId="1" applyNumberFormat="1" applyFill="1"/>
    <xf numFmtId="0" fontId="0" fillId="2" borderId="0" xfId="0" applyFill="1"/>
    <xf numFmtId="0" fontId="0" fillId="0" borderId="0" xfId="0" applyNumberFormat="1" applyFont="1" applyFill="1"/>
    <xf numFmtId="0" fontId="0" fillId="0" borderId="0" xfId="0" applyFont="1" applyFill="1"/>
    <xf numFmtId="0" fontId="3" fillId="0" borderId="0" xfId="1" applyNumberFormat="1" applyFont="1" applyFill="1"/>
    <xf numFmtId="0" fontId="2" fillId="0" borderId="0" xfId="0" applyNumberFormat="1" applyFont="1" applyFill="1"/>
    <xf numFmtId="0" fontId="2" fillId="0" borderId="0" xfId="0" applyFont="1" applyFill="1"/>
    <xf numFmtId="0" fontId="4" fillId="0" borderId="0" xfId="0" applyNumberFormat="1" applyFont="1" applyFill="1"/>
    <xf numFmtId="14" fontId="4" fillId="0" borderId="0" xfId="0" applyNumberFormat="1" applyFont="1" applyFill="1"/>
    <xf numFmtId="0" fontId="4" fillId="0" borderId="0" xfId="0" applyFont="1" applyFill="1"/>
    <xf numFmtId="0" fontId="5" fillId="0" borderId="0" xfId="1" applyNumberFormat="1" applyFont="1" applyFill="1"/>
    <xf numFmtId="0" fontId="6" fillId="0" borderId="0" xfId="1" applyNumberFormat="1" applyFont="1" applyFill="1"/>
    <xf numFmtId="0" fontId="4" fillId="2" borderId="0" xfId="0" applyNumberFormat="1" applyFont="1" applyFill="1"/>
    <xf numFmtId="14" fontId="4" fillId="2" borderId="0" xfId="0" applyNumberFormat="1" applyFont="1" applyFill="1"/>
    <xf numFmtId="0" fontId="4" fillId="2" borderId="0" xfId="0" applyFont="1" applyFill="1"/>
    <xf numFmtId="0" fontId="5" fillId="2" borderId="0" xfId="1" applyNumberFormat="1" applyFont="1" applyFill="1"/>
    <xf numFmtId="0" fontId="4" fillId="0" borderId="0" xfId="0" applyNumberFormat="1" applyFont="1" applyFill="1" applyAlignment="1">
      <alignment wrapText="1"/>
    </xf>
    <xf numFmtId="0" fontId="6" fillId="0" borderId="0" xfId="1" applyNumberFormat="1" applyFont="1" applyFill="1" applyAlignment="1">
      <alignment wrapText="1"/>
    </xf>
  </cellXfs>
  <cellStyles count="2">
    <cellStyle name="Hyperlink" xfId="1" builtinId="8"/>
    <cellStyle name="Normal" xfId="0" builtinId="0"/>
  </cellStyles>
  <dxfs count="182"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rgb="FF00B0F0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u val="double"/>
      </font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u val="double"/>
      </font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u val="double"/>
      </font>
    </dxf>
    <dxf>
      <fill>
        <patternFill>
          <bgColor rgb="FFFFFF00"/>
        </patternFill>
      </fill>
    </dxf>
    <dxf>
      <fill>
        <patternFill>
          <bgColor rgb="FFF2FFC9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u val="double"/>
      </font>
    </dxf>
    <dxf>
      <font>
        <u val="double"/>
      </font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u val="double"/>
      </font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u val="double"/>
      </font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2FFC9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u val="double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 xr9:uid="{00000000-0011-0000-FFFF-FFFF00000000}">
      <tableStyleElement type="wholeTable" dxfId="181"/>
      <tableStyleElement type="headerRow" dxfId="180"/>
      <tableStyleElement type="firstRowStripe" dxfId="179"/>
    </tableStyle>
    <tableStyle name="TableStyleQueryResult" pivot="0" count="3" xr9:uid="{00000000-0011-0000-FFFF-FFFF01000000}">
      <tableStyleElement type="wholeTable" dxfId="178"/>
      <tableStyleElement type="headerRow" dxfId="177"/>
      <tableStyleElement type="firstRowStripe" dxfId="176"/>
    </tableStyle>
  </tableStyles>
  <colors>
    <mruColors>
      <color rgb="FFF2FFC9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3" xr16:uid="{00000000-0016-0000-0000-000000000000}" autoFormatId="16" applyNumberFormats="0" applyBorderFormats="0" applyFontFormats="0" applyPatternFormats="0" applyAlignmentFormats="0" applyWidthHeightFormats="0">
  <queryTableRefresh nextId="88">
    <queryTableFields count="48">
      <queryTableField id="1" name="Parent WO" tableColumnId="1"/>
      <queryTableField id="87" dataBound="0" tableColumnId="38"/>
      <queryTableField id="2" name="Work Order Number" tableColumnId="2"/>
      <queryTableField id="49" dataBound="0" tableColumnId="40"/>
      <queryTableField id="3" name="Work Order Description" tableColumnId="3"/>
      <queryTableField id="4" name="Location" tableColumnId="4"/>
      <queryTableField id="5" name="Maximo Schedule Start" tableColumnId="5"/>
      <queryTableField id="6" name="Maximo Schedule Finish" tableColumnId="6"/>
      <queryTableField id="32" name="Nesting Code" tableColumnId="24"/>
      <queryTableField id="7" name="Target Finish" tableColumnId="7"/>
      <queryTableField id="8" name="Craft" tableColumnId="8"/>
      <queryTableField id="9" name="Work Type" tableColumnId="9"/>
      <queryTableField id="10" name="Quantity" tableColumnId="10"/>
      <queryTableField id="11" name="Tot Est Hrs" tableColumnId="11"/>
      <queryTableField id="12" name="Priority" tableColumnId="12"/>
      <queryTableField id="13" name="SCE?" tableColumnId="13"/>
      <queryTableField id="14" name="Reg?" tableColumnId="14"/>
      <queryTableField id="15" name="L2R?" tableColumnId="15"/>
      <queryTableField id="16" name="Energy Iso?" tableColumnId="16"/>
      <queryTableField id="17" name="Status" tableColumnId="17"/>
      <queryTableField id="56" name="Permit 1 Link" tableColumnId="18"/>
      <queryTableField id="80" dataBound="0" tableColumnId="43"/>
      <queryTableField id="57" name="Permit 1" tableColumnId="29"/>
      <queryTableField id="58" name="Permit 2 Link" tableColumnId="30"/>
      <queryTableField id="81" dataBound="0" tableColumnId="44"/>
      <queryTableField id="59" name="Permit 2" tableColumnId="31"/>
      <queryTableField id="60" name="Permit 3 Link" tableColumnId="32"/>
      <queryTableField id="82" dataBound="0" tableColumnId="45"/>
      <queryTableField id="61" name="Permit 3" tableColumnId="33"/>
      <queryTableField id="62" name="Permit 4 Link" tableColumnId="35"/>
      <queryTableField id="83" dataBound="0" tableColumnId="47"/>
      <queryTableField id="63" name="Permit 4" tableColumnId="36"/>
      <queryTableField id="64" name="Permit 5 Link" tableColumnId="37"/>
      <queryTableField id="84" dataBound="0" tableColumnId="48"/>
      <queryTableField id="65" name="Permit 5" tableColumnId="39"/>
      <queryTableField id="66" name="Permit 6 Link" tableColumnId="41"/>
      <queryTableField id="86" dataBound="0" tableColumnId="46"/>
      <queryTableField id="67" name="Permit 6" tableColumnId="42"/>
      <queryTableField id="19" name="Isolation Permit" tableColumnId="19"/>
      <queryTableField id="20" name="Isolation Permit Status" tableColumnId="20"/>
      <queryTableField id="21" name="Material Status" tableColumnId="21"/>
      <queryTableField id="22" name="Parent Lead Craft" tableColumnId="22"/>
      <queryTableField id="23" name="Lead Craft" tableColumnId="23"/>
      <queryTableField id="33" name="Bit?" tableColumnId="25"/>
      <queryTableField id="34" name="Bit QA?" tableColumnId="26"/>
      <queryTableField id="35" name="Bit QC?" tableColumnId="27"/>
      <queryTableField id="27" name="Execution Week" tableColumnId="28"/>
      <queryTableField id="44" name="Comments" tableColumnId="34"/>
    </queryTableFields>
    <queryTableDeletedFields count="2">
      <deletedField name="Median of Comments"/>
      <deletedField name="Count of Insulation.Comments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6" xr16:uid="{88E1C14A-E988-457C-95D0-6B7C0F712144}" autoFormatId="16" applyNumberFormats="0" applyBorderFormats="0" applyFontFormats="0" applyPatternFormats="0" applyAlignmentFormats="0" applyWidthHeightFormats="0">
  <queryTableRefresh nextId="106">
    <queryTableFields count="47">
      <queryTableField id="1" name="Parent WO" tableColumnId="1"/>
      <queryTableField id="105" dataBound="0" tableColumnId="42"/>
      <queryTableField id="2" name="Work Order Number" tableColumnId="2"/>
      <queryTableField id="3" name="Work Order Description" tableColumnId="3"/>
      <queryTableField id="4" name="Location" tableColumnId="4"/>
      <queryTableField id="5" name="Maximo Schedule Start" tableColumnId="5"/>
      <queryTableField id="6" name="Maximo Schedule Finish" tableColumnId="6"/>
      <queryTableField id="7" name="Nesting Code" tableColumnId="7"/>
      <queryTableField id="8" name="Target Finish" tableColumnId="8"/>
      <queryTableField id="9" name="Craft" tableColumnId="9"/>
      <queryTableField id="10" name="Work Type" tableColumnId="10"/>
      <queryTableField id="11" name="Quantity" tableColumnId="11"/>
      <queryTableField id="12" name="Tot Est Hrs" tableColumnId="12"/>
      <queryTableField id="13" name="Priority" tableColumnId="13"/>
      <queryTableField id="14" name="SCE?" tableColumnId="14"/>
      <queryTableField id="15" name="Reg?" tableColumnId="15"/>
      <queryTableField id="16" name="L2R?" tableColumnId="16"/>
      <queryTableField id="17" name="Energy Iso?" tableColumnId="17"/>
      <queryTableField id="18" name="Status" tableColumnId="18"/>
      <queryTableField id="19" name="Permit 1 Link" tableColumnId="19"/>
      <queryTableField id="104" dataBound="0" tableColumnId="41"/>
      <queryTableField id="20" name="Permit 1" tableColumnId="20"/>
      <queryTableField id="21" name="Permit 2 Link" tableColumnId="21"/>
      <queryTableField id="98" dataBound="0" tableColumnId="72"/>
      <queryTableField id="22" name="Permit 2" tableColumnId="22"/>
      <queryTableField id="23" name="Permit 3 Link" tableColumnId="23"/>
      <queryTableField id="100" dataBound="0" tableColumnId="74"/>
      <queryTableField id="24" name="Permit 3" tableColumnId="24"/>
      <queryTableField id="25" name="Permit 4 Link" tableColumnId="25"/>
      <queryTableField id="101" dataBound="0" tableColumnId="75"/>
      <queryTableField id="26" name="Permit 4" tableColumnId="26"/>
      <queryTableField id="27" name="Permit 5 Link" tableColumnId="27"/>
      <queryTableField id="102" dataBound="0" tableColumnId="76"/>
      <queryTableField id="28" name="Permit 5" tableColumnId="28"/>
      <queryTableField id="29" name="Permit 6 Link" tableColumnId="29"/>
      <queryTableField id="103" dataBound="0" tableColumnId="77"/>
      <queryTableField id="30" name="Permit 6" tableColumnId="30"/>
      <queryTableField id="31" name="Isolation Permit" tableColumnId="31"/>
      <queryTableField id="32" name="Isolation Permit Status" tableColumnId="32"/>
      <queryTableField id="33" name="Material Status" tableColumnId="33"/>
      <queryTableField id="34" name="Parent Lead Craft" tableColumnId="34"/>
      <queryTableField id="35" name="Lead Craft" tableColumnId="35"/>
      <queryTableField id="36" name="Bit?" tableColumnId="36"/>
      <queryTableField id="37" name="Bit QA?" tableColumnId="37"/>
      <queryTableField id="38" name="Bit QC?" tableColumnId="38"/>
      <queryTableField id="39" name="Execution Week" tableColumnId="39"/>
      <queryTableField id="40" name="Comments" tableColumnId="40"/>
    </queryTableFields>
    <queryTableDeletedFields count="27">
      <deletedField name="Column1"/>
      <deletedField name="1/10/2019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lex" displayName="Flex" ref="A1:AV99" tableType="queryTable" totalsRowShown="0" headerRowDxfId="98" dataDxfId="97">
  <autoFilter ref="A1:AV99" xr:uid="{00000000-0009-0000-0100-000001000000}"/>
  <tableColumns count="48">
    <tableColumn id="1" xr3:uid="{00000000-0010-0000-0000-000001000000}" uniqueName="1" name="Parent WO" queryTableFieldId="1" dataDxfId="96"/>
    <tableColumn id="38" xr3:uid="{524D715E-85F3-4C04-BE2E-C28B029F3D78}" uniqueName="38" name="Parent" queryTableFieldId="87" dataDxfId="95">
      <calculatedColumnFormula>IF(NOT(Flex[Parent WO]=""), HYPERLINK("http://ecow.ninja/maximo.html?p=" &amp;Flex[Parent WO],Flex[Parent WO]),"")</calculatedColumnFormula>
    </tableColumn>
    <tableColumn id="2" xr3:uid="{00000000-0010-0000-0000-000002000000}" uniqueName="2" name="Work Order Number" queryTableFieldId="2" dataDxfId="94"/>
    <tableColumn id="40" xr3:uid="{00000000-0010-0000-0000-000028000000}" uniqueName="40" name="Work Order Link" queryTableFieldId="49" dataDxfId="93" dataCellStyle="Normal">
      <calculatedColumnFormula>IF(ISERROR(DATE(DAY(Flex[Work Order Number]),MONTH(Flex[Work Order Number]),YEAR(Flex[Work Order Number]))), HYPERLINK("http://ecow.ninja/maximo.html?p=" &amp; Flex[Work Order Number],Flex[Work Order Number]),IF( Flex[Work Order Number]="","",Flex[Work Order Number]))</calculatedColumnFormula>
    </tableColumn>
    <tableColumn id="3" xr3:uid="{00000000-0010-0000-0000-000003000000}" uniqueName="3" name="Work Order Description" queryTableFieldId="3" dataDxfId="92"/>
    <tableColumn id="4" xr3:uid="{00000000-0010-0000-0000-000004000000}" uniqueName="4" name="Location" queryTableFieldId="4" dataDxfId="91"/>
    <tableColumn id="5" xr3:uid="{00000000-0010-0000-0000-000005000000}" uniqueName="5" name="Maximo Schedule Start" queryTableFieldId="5" dataDxfId="90"/>
    <tableColumn id="6" xr3:uid="{00000000-0010-0000-0000-000006000000}" uniqueName="6" name="Maximo Schedule Finish" queryTableFieldId="6" dataDxfId="89"/>
    <tableColumn id="24" xr3:uid="{00000000-0010-0000-0000-000018000000}" uniqueName="24" name="Nesting Code" queryTableFieldId="32" dataDxfId="88"/>
    <tableColumn id="7" xr3:uid="{00000000-0010-0000-0000-000007000000}" uniqueName="7" name="Target Finish" queryTableFieldId="7" dataDxfId="87"/>
    <tableColumn id="8" xr3:uid="{00000000-0010-0000-0000-000008000000}" uniqueName="8" name="Craft" queryTableFieldId="8" dataDxfId="86"/>
    <tableColumn id="9" xr3:uid="{00000000-0010-0000-0000-000009000000}" uniqueName="9" name="Work Type" queryTableFieldId="9" dataDxfId="85" dataCellStyle="Normal"/>
    <tableColumn id="10" xr3:uid="{00000000-0010-0000-0000-00000A000000}" uniqueName="10" name="Quantity" queryTableFieldId="10" dataDxfId="84"/>
    <tableColumn id="11" xr3:uid="{00000000-0010-0000-0000-00000B000000}" uniqueName="11" name="Tot Est Hrs" queryTableFieldId="11" dataDxfId="83"/>
    <tableColumn id="12" xr3:uid="{00000000-0010-0000-0000-00000C000000}" uniqueName="12" name="Priority" queryTableFieldId="12" dataDxfId="82"/>
    <tableColumn id="13" xr3:uid="{00000000-0010-0000-0000-00000D000000}" uniqueName="13" name="SCE?" queryTableFieldId="13" dataDxfId="81"/>
    <tableColumn id="14" xr3:uid="{00000000-0010-0000-0000-00000E000000}" uniqueName="14" name="Reg?" queryTableFieldId="14" dataDxfId="80"/>
    <tableColumn id="15" xr3:uid="{00000000-0010-0000-0000-00000F000000}" uniqueName="15" name="L2R?" queryTableFieldId="15" dataDxfId="79"/>
    <tableColumn id="16" xr3:uid="{00000000-0010-0000-0000-000010000000}" uniqueName="16" name="Energy Iso?" queryTableFieldId="16" dataDxfId="78"/>
    <tableColumn id="17" xr3:uid="{00000000-0010-0000-0000-000011000000}" uniqueName="17" name="Status" queryTableFieldId="17" dataDxfId="77"/>
    <tableColumn id="18" xr3:uid="{94C3E27E-182A-428B-8844-E683E6EBC81E}" uniqueName="18" name="Permit 1 Link" queryTableFieldId="56" dataDxfId="76"/>
    <tableColumn id="43" xr3:uid="{0E80AC13-9176-4382-884B-DF38DC086AB1}" uniqueName="43" name="Permit1" queryTableFieldId="80" dataDxfId="75">
      <calculatedColumnFormula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calculatedColumnFormula>
    </tableColumn>
    <tableColumn id="29" xr3:uid="{39F99825-7512-4697-8B0A-841D210D5138}" uniqueName="29" name="Permit 1" queryTableFieldId="57" dataDxfId="74"/>
    <tableColumn id="30" xr3:uid="{AAB76DEC-5B9B-4F8A-9207-D4D57D31E27E}" uniqueName="30" name="Permit 2 Link" queryTableFieldId="58" dataDxfId="73"/>
    <tableColumn id="44" xr3:uid="{8AAE5ABD-30F7-4B46-9427-448213DCE2D8}" uniqueName="44" name="Permit2" queryTableFieldId="81" dataDxfId="72" dataCellStyle="Hyperlink">
      <calculatedColumnFormula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calculatedColumnFormula>
    </tableColumn>
    <tableColumn id="31" xr3:uid="{8B5FB199-9AEB-4A63-8EA3-16BA48F93265}" uniqueName="31" name="Permit 2" queryTableFieldId="59" dataDxfId="71"/>
    <tableColumn id="32" xr3:uid="{313A4744-26F3-48A0-AC0E-E52996BB9846}" uniqueName="32" name="Permit 3 Link" queryTableFieldId="60" dataDxfId="70"/>
    <tableColumn id="45" xr3:uid="{E91D49D0-F0F4-4D8D-96B9-94E4879A8B5C}" uniqueName="45" name="Permit3" queryTableFieldId="82" dataDxfId="69">
      <calculatedColumnFormula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calculatedColumnFormula>
    </tableColumn>
    <tableColumn id="33" xr3:uid="{CCA994B5-17C0-420C-ABDD-5863D94A7982}" uniqueName="33" name="Permit 3" queryTableFieldId="61" dataDxfId="68"/>
    <tableColumn id="35" xr3:uid="{A30A3546-2196-43FD-A1A8-9A3DD5F5442C}" uniqueName="35" name="Permit 4 Link" queryTableFieldId="62" dataDxfId="67"/>
    <tableColumn id="47" xr3:uid="{891EE0FE-F293-4289-82DB-7FF98BDE59CD}" uniqueName="47" name="Permit4" queryTableFieldId="83" dataDxfId="66">
      <calculatedColumnFormula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calculatedColumnFormula>
    </tableColumn>
    <tableColumn id="36" xr3:uid="{A44EC55C-8E91-4F20-9EBA-47E0EEC6E6C0}" uniqueName="36" name="Permit 4" queryTableFieldId="63" dataDxfId="65"/>
    <tableColumn id="37" xr3:uid="{925131D1-01EF-46E9-80C3-13A1F730D0FB}" uniqueName="37" name="Permit 5 Link" queryTableFieldId="64" dataDxfId="64"/>
    <tableColumn id="48" xr3:uid="{C3DFA229-B061-4817-9D75-5CD57C379187}" uniqueName="48" name="Permit5" queryTableFieldId="84" dataDxfId="63">
      <calculatedColumnFormula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calculatedColumnFormula>
    </tableColumn>
    <tableColumn id="39" xr3:uid="{70A6B751-023F-4BCF-9FAA-2B4F37813C7C}" uniqueName="39" name="Permit 5" queryTableFieldId="65" dataDxfId="62"/>
    <tableColumn id="41" xr3:uid="{C954A057-3ABA-4BD0-AF72-8CE1ABA73914}" uniqueName="41" name="Permit 6 Link" queryTableFieldId="66" dataDxfId="61"/>
    <tableColumn id="46" xr3:uid="{601FB3A5-E293-423F-8FB2-11AD26F772E6}" uniqueName="46" name="Permit6" queryTableFieldId="86" dataDxfId="60">
      <calculatedColumnFormula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calculatedColumnFormula>
    </tableColumn>
    <tableColumn id="42" xr3:uid="{8ACF9C8C-15DD-4046-8E55-C34C7EB87C4E}" uniqueName="42" name="Permit 6" queryTableFieldId="67" dataDxfId="59"/>
    <tableColumn id="19" xr3:uid="{00000000-0010-0000-0000-000013000000}" uniqueName="19" name="Isolation Permit" queryTableFieldId="19" dataDxfId="58"/>
    <tableColumn id="20" xr3:uid="{00000000-0010-0000-0000-000014000000}" uniqueName="20" name="Isolation Permit Status" queryTableFieldId="20" dataDxfId="57"/>
    <tableColumn id="21" xr3:uid="{00000000-0010-0000-0000-000015000000}" uniqueName="21" name="Material Status" queryTableFieldId="21" dataDxfId="56"/>
    <tableColumn id="22" xr3:uid="{00000000-0010-0000-0000-000016000000}" uniqueName="22" name="Parent Lead Craft" queryTableFieldId="22" dataDxfId="55"/>
    <tableColumn id="23" xr3:uid="{00000000-0010-0000-0000-000017000000}" uniqueName="23" name="Lead Craft" queryTableFieldId="23" dataDxfId="54"/>
    <tableColumn id="25" xr3:uid="{00000000-0010-0000-0000-000019000000}" uniqueName="25" name="Bit?" queryTableFieldId="33" dataDxfId="53"/>
    <tableColumn id="26" xr3:uid="{00000000-0010-0000-0000-00001A000000}" uniqueName="26" name="Bit QA?" queryTableFieldId="34" dataDxfId="52"/>
    <tableColumn id="27" xr3:uid="{00000000-0010-0000-0000-00001B000000}" uniqueName="27" name="Bit QC?" queryTableFieldId="35" dataDxfId="51"/>
    <tableColumn id="28" xr3:uid="{00000000-0010-0000-0000-00001C000000}" uniqueName="28" name="Execution Week" queryTableFieldId="27" dataDxfId="50"/>
    <tableColumn id="34" xr3:uid="{00000000-0010-0000-0000-000022000000}" uniqueName="34" name="Comments" queryTableFieldId="44" dataDxfId="49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59A411-5654-493B-9F7C-44CCFCF0A118}" name="Pipe_Main" displayName="Pipe_Main" ref="A1:AU160" tableType="queryTable" totalsRowShown="0" headerRowDxfId="1" dataDxfId="0">
  <autoFilter ref="A1:AU160" xr:uid="{AF739C3C-118C-44C6-B70D-63021EE79664}"/>
  <tableColumns count="47">
    <tableColumn id="1" xr3:uid="{2029D34A-0989-48D0-A028-CE8CC851C7FA}" uniqueName="1" name="Parent WO" queryTableFieldId="1" dataDxfId="48"/>
    <tableColumn id="42" xr3:uid="{42B3305D-CDCF-4218-B096-52089F2000C6}" uniqueName="42" name="Work Order Link" queryTableFieldId="105" dataDxfId="47">
      <calculatedColumnFormula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calculatedColumnFormula>
    </tableColumn>
    <tableColumn id="2" xr3:uid="{8EF8D73A-7D86-48A1-B6F1-2B4CCCD064FB}" uniqueName="2" name="Work Order Number" queryTableFieldId="2" dataDxfId="46"/>
    <tableColumn id="3" xr3:uid="{D360E111-B43D-418A-869B-CFCC4E147EDB}" uniqueName="3" name="Work Order Description" queryTableFieldId="3" dataDxfId="45"/>
    <tableColumn id="4" xr3:uid="{6D381CB0-8E59-4DF2-ABC6-3081677063DA}" uniqueName="4" name="Location" queryTableFieldId="4" dataDxfId="44"/>
    <tableColumn id="5" xr3:uid="{EC7DFE58-F392-4140-8EDA-06D9A331CF28}" uniqueName="5" name="Maximo Schedule Start" queryTableFieldId="5" dataDxfId="43"/>
    <tableColumn id="6" xr3:uid="{9788817A-329A-4711-A98A-34D0B45C4B51}" uniqueName="6" name="Maximo Schedule Finish" queryTableFieldId="6" dataDxfId="42"/>
    <tableColumn id="7" xr3:uid="{4FA9102A-CB80-4E92-8C76-A7B49862EE55}" uniqueName="7" name="Nesting Code" queryTableFieldId="7" dataDxfId="41"/>
    <tableColumn id="8" xr3:uid="{6059C242-BD67-4EC6-85B3-6B3DB228D53C}" uniqueName="8" name="Target Finish" queryTableFieldId="8" dataDxfId="40"/>
    <tableColumn id="9" xr3:uid="{0F5F0AC0-F3E5-4685-9FDB-77E693B157B3}" uniqueName="9" name="Craft" queryTableFieldId="9" dataDxfId="39"/>
    <tableColumn id="10" xr3:uid="{D240D0D3-D4E9-46DA-8779-23F2BAD79AAD}" uniqueName="10" name="Work Type" queryTableFieldId="10" dataDxfId="38"/>
    <tableColumn id="11" xr3:uid="{8F4BD0ED-770C-4471-940A-2BFE730AE0C8}" uniqueName="11" name="Quantity" queryTableFieldId="11" dataDxfId="37"/>
    <tableColumn id="12" xr3:uid="{69B16E5B-4501-44A3-9591-6EB28754F15E}" uniqueName="12" name="Tot Est Hrs" queryTableFieldId="12" dataDxfId="36"/>
    <tableColumn id="13" xr3:uid="{A1D6BC10-69A7-41D6-9601-9AC911A8CB1F}" uniqueName="13" name="Priority" queryTableFieldId="13" dataDxfId="35"/>
    <tableColumn id="14" xr3:uid="{48AB637A-1FFF-46C7-A889-0D6011D85473}" uniqueName="14" name="SCE?" queryTableFieldId="14" dataDxfId="34"/>
    <tableColumn id="15" xr3:uid="{0BB76772-1E00-4F44-BFF3-1ABA0C12E251}" uniqueName="15" name="Reg?" queryTableFieldId="15" dataDxfId="33"/>
    <tableColumn id="16" xr3:uid="{7670F7B6-C852-40B0-81C9-C42E40A45C5E}" uniqueName="16" name="L2R?" queryTableFieldId="16" dataDxfId="32"/>
    <tableColumn id="17" xr3:uid="{7DC299D4-78CC-4799-95E8-8B78B78518CD}" uniqueName="17" name="Energy Iso?" queryTableFieldId="17" dataDxfId="31"/>
    <tableColumn id="18" xr3:uid="{A02335EE-5435-42F1-8E4F-D49F5601FFF0}" uniqueName="18" name="Status" queryTableFieldId="18" dataDxfId="30"/>
    <tableColumn id="19" xr3:uid="{F43D4586-4D4C-4963-AE0C-BF119193E001}" uniqueName="19" name="Permit 1 Link" queryTableFieldId="19" dataDxfId="29"/>
    <tableColumn id="41" xr3:uid="{C8925048-AA98-413B-9515-B27015C2C229}" uniqueName="41" name="Permits1" queryTableFieldId="104" dataDxfId="28" dataCellStyle="Hyperlink">
      <calculatedColumnFormula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calculatedColumnFormula>
    </tableColumn>
    <tableColumn id="20" xr3:uid="{CD7E32DB-686C-444A-922C-6452E5E40818}" uniqueName="20" name="Permit 1" queryTableFieldId="20" dataDxfId="27"/>
    <tableColumn id="21" xr3:uid="{2377A77B-EBCD-4E0C-AA76-4A408C6621F3}" uniqueName="21" name="Permit 2 Link" queryTableFieldId="21" dataDxfId="26"/>
    <tableColumn id="72" xr3:uid="{31C1A556-5E13-42D5-98C5-98B0FCFE3200}" uniqueName="72" name="Permit2" queryTableFieldId="98" dataDxfId="25" dataCellStyle="Hyperlink">
      <calculatedColumnFormula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calculatedColumnFormula>
    </tableColumn>
    <tableColumn id="22" xr3:uid="{F89BFE8E-C354-4016-81EC-C74C677C47BC}" uniqueName="22" name="Permit 2" queryTableFieldId="22" dataDxfId="24"/>
    <tableColumn id="23" xr3:uid="{A0381CEB-B5C7-46AC-9F42-482469DFC20B}" uniqueName="23" name="Permit 3 Link" queryTableFieldId="23" dataDxfId="23"/>
    <tableColumn id="74" xr3:uid="{CFCF2BEF-B906-49B2-8B2C-9E9885DAA243}" uniqueName="74" name="Permit3" queryTableFieldId="100" dataDxfId="22">
      <calculatedColumnFormula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calculatedColumnFormula>
    </tableColumn>
    <tableColumn id="24" xr3:uid="{211B6981-5508-4137-9344-21BED03AE24D}" uniqueName="24" name="Permit 3" queryTableFieldId="24" dataDxfId="21"/>
    <tableColumn id="25" xr3:uid="{C38D375A-0140-4F1F-850E-A841D9386641}" uniqueName="25" name="Permit 4 Link" queryTableFieldId="25" dataDxfId="20"/>
    <tableColumn id="75" xr3:uid="{B9F21C2F-CB01-4EFD-9B66-5F6D4AAA17B7}" uniqueName="75" name="Permit4" queryTableFieldId="101" dataDxfId="19">
      <calculatedColumnFormula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calculatedColumnFormula>
    </tableColumn>
    <tableColumn id="26" xr3:uid="{F4A445BD-0A28-4ECB-B6FA-2C2B0BA32627}" uniqueName="26" name="Permit 4" queryTableFieldId="26" dataDxfId="18"/>
    <tableColumn id="27" xr3:uid="{EF7E8C53-29B0-42E1-95BA-7FB47D8B9478}" uniqueName="27" name="Permit 5 Link" queryTableFieldId="27" dataDxfId="17"/>
    <tableColumn id="76" xr3:uid="{BBB04A29-1DE0-46B4-B39B-FE87C17451CE}" uniqueName="76" name="Permit5" queryTableFieldId="102" dataDxfId="16">
      <calculatedColumnFormula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calculatedColumnFormula>
    </tableColumn>
    <tableColumn id="28" xr3:uid="{5728DCF8-786B-405C-87A2-CE7A5D796FBB}" uniqueName="28" name="Permit 5" queryTableFieldId="28" dataDxfId="15"/>
    <tableColumn id="29" xr3:uid="{B4174A81-2D7D-4DC2-8104-4FD821AA1B82}" uniqueName="29" name="Permit 6 Link" queryTableFieldId="29" dataDxfId="14"/>
    <tableColumn id="77" xr3:uid="{B6CB1D59-F1E0-404A-B699-DA995EDDDACC}" uniqueName="77" name="Permit6" queryTableFieldId="103" dataDxfId="13">
      <calculatedColumnFormula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calculatedColumnFormula>
    </tableColumn>
    <tableColumn id="30" xr3:uid="{E6C3E454-7D01-4B42-8B15-1612E01BE17F}" uniqueName="30" name="Permit 6" queryTableFieldId="30" dataDxfId="12"/>
    <tableColumn id="31" xr3:uid="{08D92B72-5329-48AE-861C-8B65E1BE3071}" uniqueName="31" name="Isolation Permit" queryTableFieldId="31" dataDxfId="11"/>
    <tableColumn id="32" xr3:uid="{B2128A86-D5B5-45DE-ABEA-128DB93BE2D8}" uniqueName="32" name="Isolation Permit Status" queryTableFieldId="32" dataDxfId="10"/>
    <tableColumn id="33" xr3:uid="{50BD91BF-9744-440C-A68B-2926B6638C24}" uniqueName="33" name="Material Status" queryTableFieldId="33" dataDxfId="9"/>
    <tableColumn id="34" xr3:uid="{03753336-5A78-4CFF-B7E6-0BE101187A85}" uniqueName="34" name="Parent Lead Craft" queryTableFieldId="34" dataDxfId="8"/>
    <tableColumn id="35" xr3:uid="{70E000AD-CBED-4841-8319-9261E5C7B4E4}" uniqueName="35" name="Lead Craft" queryTableFieldId="35" dataDxfId="7"/>
    <tableColumn id="36" xr3:uid="{E97007B4-5416-46D8-8135-B92049742FFB}" uniqueName="36" name="Bit?" queryTableFieldId="36" dataDxfId="6"/>
    <tableColumn id="37" xr3:uid="{C0894EAA-4B53-4D08-B040-D26A5D3F68F8}" uniqueName="37" name="Bit QA?" queryTableFieldId="37" dataDxfId="5"/>
    <tableColumn id="38" xr3:uid="{0270F18C-AB3F-4814-A313-A176ED17FBA1}" uniqueName="38" name="Bit QC?" queryTableFieldId="38" dataDxfId="4"/>
    <tableColumn id="39" xr3:uid="{0FB96EE0-8174-4BBF-9320-66FA6B7093E9}" uniqueName="39" name="Execution Week" queryTableFieldId="39" dataDxfId="3"/>
    <tableColumn id="40" xr3:uid="{D99CD516-55B4-496B-84E2-D5563C1157B2}" uniqueName="40" name="Comments" queryTableFieldId="40" dataDxfId="2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00"/>
      </a:hlink>
      <a:folHlink>
        <a:srgbClr val="00000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V254"/>
  <sheetViews>
    <sheetView showWhiteSpace="0" topLeftCell="A27" zoomScale="85" zoomScaleNormal="85" zoomScaleSheetLayoutView="40" workbookViewId="0">
      <selection activeCell="D51" sqref="D51"/>
    </sheetView>
  </sheetViews>
  <sheetFormatPr defaultRowHeight="18" customHeight="1" x14ac:dyDescent="0.25"/>
  <cols>
    <col min="1" max="1" width="11.7109375" style="1" customWidth="1"/>
    <col min="2" max="2" width="11.140625" style="1" hidden="1" customWidth="1"/>
    <col min="3" max="3" width="11.5703125" style="4" hidden="1" customWidth="1"/>
    <col min="4" max="4" width="13.140625" style="1" customWidth="1"/>
    <col min="5" max="5" width="88" style="1" customWidth="1"/>
    <col min="6" max="6" width="20.7109375" style="2" customWidth="1"/>
    <col min="7" max="7" width="14.42578125" style="2" customWidth="1"/>
    <col min="8" max="8" width="14.85546875" style="2" customWidth="1"/>
    <col min="9" max="9" width="11" style="1" hidden="1" customWidth="1"/>
    <col min="10" max="10" width="11.42578125" style="1" hidden="1" customWidth="1"/>
    <col min="11" max="11" width="13" style="1" hidden="1" customWidth="1"/>
    <col min="12" max="12" width="3.42578125" style="1" hidden="1" customWidth="1"/>
    <col min="13" max="13" width="3.85546875" style="1" customWidth="1"/>
    <col min="14" max="14" width="5.42578125" style="1" customWidth="1"/>
    <col min="15" max="15" width="4.28515625" style="1" customWidth="1"/>
    <col min="16" max="17" width="11" style="1" hidden="1" customWidth="1"/>
    <col min="18" max="18" width="3.5703125" style="1" customWidth="1"/>
    <col min="19" max="19" width="3.85546875" style="1" customWidth="1"/>
    <col min="20" max="20" width="7.5703125" style="1" customWidth="1"/>
    <col min="21" max="21" width="34.140625" style="4" hidden="1" customWidth="1"/>
    <col min="22" max="22" width="12" style="11" customWidth="1"/>
    <col min="23" max="23" width="24.5703125" style="1" hidden="1" customWidth="1"/>
    <col min="24" max="24" width="4.140625" style="1" hidden="1" customWidth="1"/>
    <col min="25" max="25" width="10.42578125" style="9" customWidth="1"/>
    <col min="26" max="26" width="23" style="1" hidden="1" customWidth="1"/>
    <col min="27" max="27" width="13.5703125" style="1" hidden="1" customWidth="1"/>
    <col min="28" max="28" width="9.85546875" style="11" customWidth="1"/>
    <col min="29" max="29" width="8.7109375" style="1" hidden="1" customWidth="1"/>
    <col min="30" max="30" width="20.7109375" style="1" hidden="1" customWidth="1"/>
    <col min="31" max="31" width="10" style="11" customWidth="1"/>
    <col min="32" max="32" width="8.85546875" style="1" hidden="1" customWidth="1"/>
    <col min="33" max="33" width="20.7109375" style="1" hidden="1" customWidth="1"/>
    <col min="34" max="34" width="10.7109375" style="11" customWidth="1"/>
    <col min="35" max="46" width="10.7109375" style="1" hidden="1" customWidth="1"/>
    <col min="47" max="47" width="10.7109375" style="2" hidden="1" customWidth="1"/>
    <col min="48" max="48" width="72.7109375" style="1" customWidth="1"/>
    <col min="49" max="49" width="9.140625" style="1"/>
    <col min="50" max="50" width="9.85546875" style="1" bestFit="1" customWidth="1"/>
    <col min="51" max="16384" width="9.140625" style="1"/>
  </cols>
  <sheetData>
    <row r="1" spans="1:48" ht="18" customHeight="1" x14ac:dyDescent="0.25">
      <c r="A1" s="1" t="s">
        <v>0</v>
      </c>
      <c r="B1" s="1" t="s">
        <v>854</v>
      </c>
      <c r="C1" s="4" t="s">
        <v>1</v>
      </c>
      <c r="D1" s="1" t="s">
        <v>2</v>
      </c>
      <c r="E1" s="1" t="s">
        <v>3</v>
      </c>
      <c r="F1" s="1" t="s">
        <v>4</v>
      </c>
      <c r="G1" s="2" t="s">
        <v>5</v>
      </c>
      <c r="H1" s="2" t="s">
        <v>6</v>
      </c>
      <c r="I1" s="1" t="s">
        <v>7</v>
      </c>
      <c r="J1" s="2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4" t="s">
        <v>750</v>
      </c>
      <c r="V1" s="10" t="s">
        <v>763</v>
      </c>
      <c r="W1" s="1" t="s">
        <v>751</v>
      </c>
      <c r="X1" s="1" t="s">
        <v>752</v>
      </c>
      <c r="Y1" s="1" t="s">
        <v>764</v>
      </c>
      <c r="Z1" s="1" t="s">
        <v>753</v>
      </c>
      <c r="AA1" s="1" t="s">
        <v>754</v>
      </c>
      <c r="AB1" s="10" t="s">
        <v>765</v>
      </c>
      <c r="AC1" s="1" t="s">
        <v>755</v>
      </c>
      <c r="AD1" s="1" t="s">
        <v>756</v>
      </c>
      <c r="AE1" s="10" t="s">
        <v>766</v>
      </c>
      <c r="AF1" s="1" t="s">
        <v>757</v>
      </c>
      <c r="AG1" s="1" t="s">
        <v>758</v>
      </c>
      <c r="AH1" s="7" t="s">
        <v>767</v>
      </c>
      <c r="AI1" s="1" t="s">
        <v>759</v>
      </c>
      <c r="AJ1" s="1" t="s">
        <v>760</v>
      </c>
      <c r="AK1" s="1" t="s">
        <v>768</v>
      </c>
      <c r="AL1" s="1" t="s">
        <v>761</v>
      </c>
      <c r="AM1" s="1" t="s">
        <v>19</v>
      </c>
      <c r="AN1" s="1" t="s">
        <v>20</v>
      </c>
      <c r="AO1" s="1" t="s">
        <v>21</v>
      </c>
      <c r="AP1" s="1" t="s">
        <v>22</v>
      </c>
      <c r="AQ1" s="1" t="s">
        <v>23</v>
      </c>
      <c r="AR1" s="1" t="s">
        <v>24</v>
      </c>
      <c r="AS1" s="1" t="s">
        <v>25</v>
      </c>
      <c r="AT1" s="1" t="s">
        <v>26</v>
      </c>
      <c r="AU1" s="2" t="s">
        <v>27</v>
      </c>
      <c r="AV1" s="1" t="s">
        <v>28</v>
      </c>
    </row>
    <row r="2" spans="1:48" ht="18" customHeight="1" x14ac:dyDescent="0.3">
      <c r="A2" s="12"/>
      <c r="B2" s="12" t="str">
        <f>IF(NOT(Flex[Parent WO]=""), HYPERLINK("http://ecow.ninja/maximo.html?p=" &amp;Flex[Parent WO],Flex[Parent WO]),"")</f>
        <v/>
      </c>
      <c r="C2" s="12" t="s">
        <v>47</v>
      </c>
      <c r="D2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1/10/2019</v>
      </c>
      <c r="E2" s="12"/>
      <c r="F2" s="12"/>
      <c r="G2" s="13"/>
      <c r="H2" s="13"/>
      <c r="I2" s="12"/>
      <c r="J2" s="13"/>
      <c r="K2" s="12"/>
      <c r="M2" s="12"/>
      <c r="N2" s="12"/>
      <c r="O2" s="12"/>
      <c r="P2" s="14"/>
      <c r="Q2" s="14"/>
      <c r="R2" s="12"/>
      <c r="S2" s="12"/>
      <c r="T2" s="12"/>
      <c r="U2" s="12" t="s">
        <v>762</v>
      </c>
      <c r="V2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2" s="12" t="s">
        <v>762</v>
      </c>
      <c r="X2" s="12" t="s">
        <v>762</v>
      </c>
      <c r="Y2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2" s="12" t="s">
        <v>762</v>
      </c>
      <c r="AA2" s="12" t="s">
        <v>762</v>
      </c>
      <c r="AB2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2" s="12" t="s">
        <v>762</v>
      </c>
      <c r="AD2" s="12" t="s">
        <v>762</v>
      </c>
      <c r="AE2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2" s="12" t="s">
        <v>762</v>
      </c>
      <c r="AG2" s="12" t="s">
        <v>762</v>
      </c>
      <c r="AH2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2" s="12" t="s">
        <v>762</v>
      </c>
      <c r="AJ2" s="12" t="s">
        <v>762</v>
      </c>
      <c r="AK2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2" s="12" t="s">
        <v>762</v>
      </c>
      <c r="AM2" s="12"/>
      <c r="AN2" s="12"/>
      <c r="AO2" s="12"/>
      <c r="AP2" s="12"/>
      <c r="AQ2" s="12"/>
      <c r="AR2" s="12"/>
      <c r="AS2" s="12"/>
      <c r="AT2" s="12"/>
      <c r="AU2" s="13">
        <v>43475</v>
      </c>
      <c r="AV2" s="12"/>
    </row>
    <row r="3" spans="1:48" ht="18" customHeight="1" x14ac:dyDescent="0.3">
      <c r="A3" s="12" t="s">
        <v>736</v>
      </c>
      <c r="B3" s="12" t="str">
        <f>IF(NOT(Flex[Parent WO]=""), HYPERLINK("http://ecow.ninja/maximo.html?p=" &amp;Flex[Parent WO],Flex[Parent WO]),"")</f>
        <v>K689586</v>
      </c>
      <c r="C3" s="12" t="s">
        <v>737</v>
      </c>
      <c r="D3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TK808656</v>
      </c>
      <c r="E3" s="12" t="s">
        <v>738</v>
      </c>
      <c r="F3" s="12" t="s">
        <v>739</v>
      </c>
      <c r="G3" s="13">
        <v>43451</v>
      </c>
      <c r="H3" s="13">
        <v>43452</v>
      </c>
      <c r="I3" s="12"/>
      <c r="J3" s="13">
        <v>43465</v>
      </c>
      <c r="K3" s="12" t="s">
        <v>379</v>
      </c>
      <c r="L3" s="1" t="s">
        <v>29</v>
      </c>
      <c r="M3" s="12">
        <v>3</v>
      </c>
      <c r="N3" s="12">
        <v>60</v>
      </c>
      <c r="O3" s="12">
        <v>3</v>
      </c>
      <c r="P3" s="14"/>
      <c r="Q3" s="14"/>
      <c r="R3" s="12" t="s">
        <v>30</v>
      </c>
      <c r="S3" s="12" t="s">
        <v>42</v>
      </c>
      <c r="T3" s="12" t="s">
        <v>740</v>
      </c>
      <c r="U3" s="22" t="s">
        <v>937</v>
      </c>
      <c r="V3" s="15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239085 TRA</v>
      </c>
      <c r="W3" s="12" t="s">
        <v>781</v>
      </c>
      <c r="X3" s="12" t="s">
        <v>762</v>
      </c>
      <c r="Y3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3" s="12" t="s">
        <v>762</v>
      </c>
      <c r="AA3" s="12" t="s">
        <v>762</v>
      </c>
      <c r="AB3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3" s="12" t="s">
        <v>762</v>
      </c>
      <c r="AD3" s="12" t="s">
        <v>762</v>
      </c>
      <c r="AE3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3" s="12" t="s">
        <v>762</v>
      </c>
      <c r="AG3" s="12" t="s">
        <v>762</v>
      </c>
      <c r="AH3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3" s="12" t="s">
        <v>762</v>
      </c>
      <c r="AJ3" s="12" t="s">
        <v>762</v>
      </c>
      <c r="AK3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3" s="12" t="s">
        <v>762</v>
      </c>
      <c r="AM3" s="12"/>
      <c r="AN3" s="12"/>
      <c r="AO3" s="12"/>
      <c r="AP3" s="12" t="s">
        <v>741</v>
      </c>
      <c r="AQ3" s="12"/>
      <c r="AR3" s="12" t="s">
        <v>42</v>
      </c>
      <c r="AS3" s="12"/>
      <c r="AT3" s="12"/>
      <c r="AU3" s="13">
        <v>43475</v>
      </c>
      <c r="AV3" s="12"/>
    </row>
    <row r="4" spans="1:48" ht="18" customHeight="1" x14ac:dyDescent="0.3">
      <c r="A4" s="12" t="s">
        <v>406</v>
      </c>
      <c r="B4" s="12" t="str">
        <f>IF(NOT(Flex[Parent WO]=""), HYPERLINK("http://ecow.ninja/maximo.html?p=" &amp;Flex[Parent WO],Flex[Parent WO]),"")</f>
        <v>K746954</v>
      </c>
      <c r="C4" s="12" t="s">
        <v>407</v>
      </c>
      <c r="D4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TK846093</v>
      </c>
      <c r="E4" s="12" t="s">
        <v>408</v>
      </c>
      <c r="F4" s="12" t="s">
        <v>409</v>
      </c>
      <c r="G4" s="13">
        <v>43478</v>
      </c>
      <c r="H4" s="13">
        <v>43479</v>
      </c>
      <c r="I4" s="12"/>
      <c r="J4" s="13">
        <v>43525</v>
      </c>
      <c r="K4" s="12" t="s">
        <v>379</v>
      </c>
      <c r="L4" s="1" t="s">
        <v>34</v>
      </c>
      <c r="M4" s="12">
        <v>3</v>
      </c>
      <c r="N4" s="12">
        <v>54</v>
      </c>
      <c r="O4" s="12">
        <v>4</v>
      </c>
      <c r="P4" s="14"/>
      <c r="Q4" s="14"/>
      <c r="R4" s="12" t="s">
        <v>30</v>
      </c>
      <c r="S4" s="12" t="s">
        <v>30</v>
      </c>
      <c r="T4" s="12" t="s">
        <v>37</v>
      </c>
      <c r="U4" s="12" t="s">
        <v>938</v>
      </c>
      <c r="V4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294837 Verified</v>
      </c>
      <c r="W4" s="12" t="s">
        <v>785</v>
      </c>
      <c r="X4" s="12" t="s">
        <v>939</v>
      </c>
      <c r="Y4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298770 Suspended</v>
      </c>
      <c r="Z4" s="12" t="s">
        <v>783</v>
      </c>
      <c r="AA4" s="12" t="s">
        <v>762</v>
      </c>
      <c r="AB4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4" s="12" t="s">
        <v>762</v>
      </c>
      <c r="AD4" s="12" t="s">
        <v>762</v>
      </c>
      <c r="AE4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4" s="12" t="s">
        <v>762</v>
      </c>
      <c r="AG4" s="12" t="s">
        <v>762</v>
      </c>
      <c r="AH4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4" s="12" t="s">
        <v>762</v>
      </c>
      <c r="AJ4" s="12" t="s">
        <v>762</v>
      </c>
      <c r="AK4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4" s="12" t="s">
        <v>762</v>
      </c>
      <c r="AM4" s="12" t="s">
        <v>769</v>
      </c>
      <c r="AN4" s="12" t="s">
        <v>40</v>
      </c>
      <c r="AO4" s="12"/>
      <c r="AP4" s="12" t="s">
        <v>379</v>
      </c>
      <c r="AQ4" s="12"/>
      <c r="AR4" s="12"/>
      <c r="AS4" s="12"/>
      <c r="AT4" s="12"/>
      <c r="AU4" s="13">
        <v>43475</v>
      </c>
      <c r="AV4" s="12"/>
    </row>
    <row r="5" spans="1:48" ht="18" customHeight="1" x14ac:dyDescent="0.3">
      <c r="A5" s="12" t="s">
        <v>563</v>
      </c>
      <c r="B5" s="12" t="str">
        <f>IF(NOT(Flex[Parent WO]=""), HYPERLINK("http://ecow.ninja/maximo.html?p=" &amp;Flex[Parent WO],Flex[Parent WO]),"")</f>
        <v>K775190</v>
      </c>
      <c r="C5" s="12" t="s">
        <v>564</v>
      </c>
      <c r="D5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TK865786</v>
      </c>
      <c r="E5" s="12" t="s">
        <v>565</v>
      </c>
      <c r="F5" s="12" t="s">
        <v>566</v>
      </c>
      <c r="G5" s="13">
        <v>43478</v>
      </c>
      <c r="H5" s="13">
        <v>43478</v>
      </c>
      <c r="I5" s="12"/>
      <c r="J5" s="13">
        <v>43524</v>
      </c>
      <c r="K5" s="12" t="s">
        <v>379</v>
      </c>
      <c r="L5" s="1" t="s">
        <v>34</v>
      </c>
      <c r="M5" s="12">
        <v>4</v>
      </c>
      <c r="N5" s="12">
        <v>40</v>
      </c>
      <c r="O5" s="12">
        <v>4</v>
      </c>
      <c r="P5" s="14"/>
      <c r="Q5" s="14"/>
      <c r="R5" s="12" t="s">
        <v>30</v>
      </c>
      <c r="S5" s="12" t="s">
        <v>30</v>
      </c>
      <c r="T5" s="12" t="s">
        <v>37</v>
      </c>
      <c r="U5" s="12" t="s">
        <v>940</v>
      </c>
      <c r="V5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291199 Draft</v>
      </c>
      <c r="W5" s="12" t="s">
        <v>787</v>
      </c>
      <c r="X5" s="12" t="s">
        <v>941</v>
      </c>
      <c r="Y5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298579 Verified</v>
      </c>
      <c r="Z5" s="12" t="s">
        <v>784</v>
      </c>
      <c r="AA5" s="12" t="s">
        <v>762</v>
      </c>
      <c r="AB5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5" s="12" t="s">
        <v>762</v>
      </c>
      <c r="AD5" s="12" t="s">
        <v>762</v>
      </c>
      <c r="AE5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5" s="12" t="s">
        <v>762</v>
      </c>
      <c r="AG5" s="12" t="s">
        <v>762</v>
      </c>
      <c r="AH5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5" s="12" t="s">
        <v>762</v>
      </c>
      <c r="AJ5" s="12" t="s">
        <v>762</v>
      </c>
      <c r="AK5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5" s="12" t="s">
        <v>762</v>
      </c>
      <c r="AM5" s="12"/>
      <c r="AN5" s="12"/>
      <c r="AO5" s="12"/>
      <c r="AP5" s="12" t="s">
        <v>379</v>
      </c>
      <c r="AQ5" s="12"/>
      <c r="AR5" s="12"/>
      <c r="AS5" s="12"/>
      <c r="AT5" s="12"/>
      <c r="AU5" s="13">
        <v>43475</v>
      </c>
      <c r="AV5" s="12" t="s">
        <v>777</v>
      </c>
    </row>
    <row r="6" spans="1:48" ht="18" customHeight="1" x14ac:dyDescent="0.3">
      <c r="A6" s="12" t="s">
        <v>410</v>
      </c>
      <c r="B6" s="12" t="str">
        <f>IF(NOT(Flex[Parent WO]=""), HYPERLINK("http://ecow.ninja/maximo.html?p=" &amp;Flex[Parent WO],Flex[Parent WO]),"")</f>
        <v>K652515</v>
      </c>
      <c r="C6" s="12" t="s">
        <v>411</v>
      </c>
      <c r="D6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TK760840</v>
      </c>
      <c r="E6" s="12" t="s">
        <v>412</v>
      </c>
      <c r="F6" s="12" t="s">
        <v>413</v>
      </c>
      <c r="G6" s="13">
        <v>43478</v>
      </c>
      <c r="H6" s="13">
        <v>43479</v>
      </c>
      <c r="I6" s="12" t="s">
        <v>57</v>
      </c>
      <c r="J6" s="13">
        <v>43616</v>
      </c>
      <c r="K6" s="12" t="s">
        <v>379</v>
      </c>
      <c r="L6" s="1" t="s">
        <v>34</v>
      </c>
      <c r="M6" s="12">
        <v>3</v>
      </c>
      <c r="N6" s="12">
        <v>60</v>
      </c>
      <c r="O6" s="12">
        <v>2</v>
      </c>
      <c r="P6" s="14"/>
      <c r="Q6" s="14"/>
      <c r="R6" s="12" t="s">
        <v>30</v>
      </c>
      <c r="S6" s="12" t="s">
        <v>30</v>
      </c>
      <c r="T6" s="12" t="s">
        <v>37</v>
      </c>
      <c r="U6" s="12" t="s">
        <v>942</v>
      </c>
      <c r="V6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298222 Authorised</v>
      </c>
      <c r="W6" s="12" t="s">
        <v>782</v>
      </c>
      <c r="X6" s="12" t="s">
        <v>943</v>
      </c>
      <c r="Y6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298224 Verified</v>
      </c>
      <c r="Z6" s="12" t="s">
        <v>784</v>
      </c>
      <c r="AA6" s="12" t="s">
        <v>944</v>
      </c>
      <c r="AB6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>298223 Verified</v>
      </c>
      <c r="AC6" s="12" t="s">
        <v>784</v>
      </c>
      <c r="AD6" s="12" t="s">
        <v>945</v>
      </c>
      <c r="AE6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>299564 Verified</v>
      </c>
      <c r="AF6" s="12" t="s">
        <v>784</v>
      </c>
      <c r="AG6" s="12" t="s">
        <v>946</v>
      </c>
      <c r="AH6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>298228 Verified</v>
      </c>
      <c r="AI6" s="12" t="s">
        <v>784</v>
      </c>
      <c r="AJ6" s="12" t="s">
        <v>762</v>
      </c>
      <c r="AK6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6" s="12" t="s">
        <v>762</v>
      </c>
      <c r="AM6" s="12"/>
      <c r="AN6" s="12"/>
      <c r="AO6" s="12"/>
      <c r="AP6" s="12" t="s">
        <v>379</v>
      </c>
      <c r="AQ6" s="12"/>
      <c r="AR6" s="12"/>
      <c r="AS6" s="12"/>
      <c r="AT6" s="12"/>
      <c r="AU6" s="13">
        <v>43475</v>
      </c>
      <c r="AV6" s="12"/>
    </row>
    <row r="7" spans="1:48" ht="18" customHeight="1" x14ac:dyDescent="0.3">
      <c r="A7" s="12" t="s">
        <v>567</v>
      </c>
      <c r="B7" s="12" t="str">
        <f>IF(NOT(Flex[Parent WO]=""), HYPERLINK("http://ecow.ninja/maximo.html?p=" &amp;Flex[Parent WO],Flex[Parent WO]),"")</f>
        <v>K775192</v>
      </c>
      <c r="C7" s="12" t="s">
        <v>568</v>
      </c>
      <c r="D7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TK865791</v>
      </c>
      <c r="E7" s="12" t="s">
        <v>569</v>
      </c>
      <c r="F7" s="12" t="s">
        <v>566</v>
      </c>
      <c r="G7" s="13">
        <v>43479</v>
      </c>
      <c r="H7" s="13">
        <v>43479</v>
      </c>
      <c r="I7" s="12"/>
      <c r="J7" s="13">
        <v>43524</v>
      </c>
      <c r="K7" s="12" t="s">
        <v>379</v>
      </c>
      <c r="L7" s="1" t="s">
        <v>34</v>
      </c>
      <c r="M7" s="12">
        <v>4</v>
      </c>
      <c r="N7" s="12">
        <v>40</v>
      </c>
      <c r="O7" s="12">
        <v>4</v>
      </c>
      <c r="P7" s="14"/>
      <c r="Q7" s="14"/>
      <c r="R7" s="12" t="s">
        <v>42</v>
      </c>
      <c r="S7" s="12" t="s">
        <v>42</v>
      </c>
      <c r="T7" s="12" t="s">
        <v>37</v>
      </c>
      <c r="U7" s="12" t="s">
        <v>941</v>
      </c>
      <c r="V7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298579 Verified</v>
      </c>
      <c r="W7" s="12" t="s">
        <v>784</v>
      </c>
      <c r="X7" s="12" t="s">
        <v>762</v>
      </c>
      <c r="Y7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7" s="12" t="s">
        <v>762</v>
      </c>
      <c r="AA7" s="12" t="s">
        <v>762</v>
      </c>
      <c r="AB7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7" s="12" t="s">
        <v>762</v>
      </c>
      <c r="AD7" s="12" t="s">
        <v>762</v>
      </c>
      <c r="AE7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7" s="12" t="s">
        <v>762</v>
      </c>
      <c r="AG7" s="12" t="s">
        <v>762</v>
      </c>
      <c r="AH7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7" s="12" t="s">
        <v>762</v>
      </c>
      <c r="AJ7" s="12" t="s">
        <v>762</v>
      </c>
      <c r="AK7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7" s="12" t="s">
        <v>762</v>
      </c>
      <c r="AM7" s="12"/>
      <c r="AN7" s="12"/>
      <c r="AO7" s="12"/>
      <c r="AP7" s="12" t="s">
        <v>379</v>
      </c>
      <c r="AQ7" s="12"/>
      <c r="AR7" s="12"/>
      <c r="AS7" s="12"/>
      <c r="AT7" s="12"/>
      <c r="AU7" s="13">
        <v>43475</v>
      </c>
      <c r="AV7" s="12"/>
    </row>
    <row r="8" spans="1:48" ht="18" customHeight="1" x14ac:dyDescent="0.3">
      <c r="A8" s="12" t="s">
        <v>570</v>
      </c>
      <c r="B8" s="12" t="str">
        <f>IF(NOT(Flex[Parent WO]=""), HYPERLINK("http://ecow.ninja/maximo.html?p=" &amp;Flex[Parent WO],Flex[Parent WO]),"")</f>
        <v>K774624</v>
      </c>
      <c r="C8" s="12" t="s">
        <v>571</v>
      </c>
      <c r="D8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TK864948</v>
      </c>
      <c r="E8" s="12" t="s">
        <v>572</v>
      </c>
      <c r="F8" s="12" t="s">
        <v>566</v>
      </c>
      <c r="G8" s="13">
        <v>43480</v>
      </c>
      <c r="H8" s="13">
        <v>43480</v>
      </c>
      <c r="I8" s="12"/>
      <c r="J8" s="13">
        <v>43524</v>
      </c>
      <c r="K8" s="12" t="s">
        <v>379</v>
      </c>
      <c r="L8" s="1" t="s">
        <v>29</v>
      </c>
      <c r="M8" s="12">
        <v>1</v>
      </c>
      <c r="N8" s="12">
        <v>10</v>
      </c>
      <c r="O8" s="12">
        <v>4</v>
      </c>
      <c r="P8" s="14"/>
      <c r="Q8" s="14"/>
      <c r="R8" s="12" t="s">
        <v>42</v>
      </c>
      <c r="S8" s="12" t="s">
        <v>42</v>
      </c>
      <c r="T8" s="12" t="s">
        <v>37</v>
      </c>
      <c r="U8" s="12" t="s">
        <v>940</v>
      </c>
      <c r="V8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291199 Draft</v>
      </c>
      <c r="W8" s="12" t="s">
        <v>787</v>
      </c>
      <c r="X8" s="12" t="s">
        <v>762</v>
      </c>
      <c r="Y8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8" s="12" t="s">
        <v>762</v>
      </c>
      <c r="AA8" s="12" t="s">
        <v>762</v>
      </c>
      <c r="AB8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8" s="12" t="s">
        <v>762</v>
      </c>
      <c r="AD8" s="12" t="s">
        <v>762</v>
      </c>
      <c r="AE8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8" s="12" t="s">
        <v>762</v>
      </c>
      <c r="AG8" s="12" t="s">
        <v>762</v>
      </c>
      <c r="AH8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8" s="12" t="s">
        <v>762</v>
      </c>
      <c r="AJ8" s="12" t="s">
        <v>762</v>
      </c>
      <c r="AK8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8" s="12" t="s">
        <v>762</v>
      </c>
      <c r="AM8" s="12"/>
      <c r="AN8" s="12"/>
      <c r="AO8" s="12"/>
      <c r="AP8" s="12" t="s">
        <v>379</v>
      </c>
      <c r="AQ8" s="12"/>
      <c r="AR8" s="12"/>
      <c r="AS8" s="12"/>
      <c r="AT8" s="12"/>
      <c r="AU8" s="13">
        <v>43475</v>
      </c>
      <c r="AV8" s="12" t="s">
        <v>776</v>
      </c>
    </row>
    <row r="9" spans="1:48" ht="18" customHeight="1" x14ac:dyDescent="0.3">
      <c r="A9" s="12" t="s">
        <v>414</v>
      </c>
      <c r="B9" s="12" t="str">
        <f>IF(NOT(Flex[Parent WO]=""), HYPERLINK("http://ecow.ninja/maximo.html?p=" &amp;Flex[Parent WO],Flex[Parent WO]),"")</f>
        <v>K502723</v>
      </c>
      <c r="C9" s="12" t="s">
        <v>415</v>
      </c>
      <c r="D9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TK628889</v>
      </c>
      <c r="E9" s="12" t="s">
        <v>416</v>
      </c>
      <c r="F9" s="12" t="s">
        <v>417</v>
      </c>
      <c r="G9" s="13">
        <v>43480</v>
      </c>
      <c r="H9" s="13">
        <v>43480</v>
      </c>
      <c r="I9" s="12" t="s">
        <v>43</v>
      </c>
      <c r="J9" s="13">
        <v>43830</v>
      </c>
      <c r="K9" s="12" t="s">
        <v>379</v>
      </c>
      <c r="L9" s="1" t="s">
        <v>34</v>
      </c>
      <c r="M9" s="12">
        <v>5</v>
      </c>
      <c r="N9" s="12">
        <v>50</v>
      </c>
      <c r="O9" s="12">
        <v>3</v>
      </c>
      <c r="P9" s="14"/>
      <c r="Q9" s="14"/>
      <c r="R9" s="12" t="s">
        <v>30</v>
      </c>
      <c r="S9" s="12" t="s">
        <v>30</v>
      </c>
      <c r="T9" s="12" t="s">
        <v>37</v>
      </c>
      <c r="U9" s="12" t="s">
        <v>947</v>
      </c>
      <c r="V9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274418 Verified</v>
      </c>
      <c r="W9" s="12" t="s">
        <v>785</v>
      </c>
      <c r="X9" s="12" t="s">
        <v>948</v>
      </c>
      <c r="Y9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298918 Verified</v>
      </c>
      <c r="Z9" s="12" t="s">
        <v>784</v>
      </c>
      <c r="AA9" s="12" t="s">
        <v>762</v>
      </c>
      <c r="AB9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9" s="12" t="s">
        <v>762</v>
      </c>
      <c r="AD9" s="12" t="s">
        <v>762</v>
      </c>
      <c r="AE9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9" s="12" t="s">
        <v>762</v>
      </c>
      <c r="AG9" s="12" t="s">
        <v>762</v>
      </c>
      <c r="AH9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9" s="12" t="s">
        <v>762</v>
      </c>
      <c r="AJ9" s="12" t="s">
        <v>762</v>
      </c>
      <c r="AK9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9" s="12" t="s">
        <v>762</v>
      </c>
      <c r="AM9" s="12" t="s">
        <v>793</v>
      </c>
      <c r="AN9" s="12" t="s">
        <v>40</v>
      </c>
      <c r="AO9" s="12"/>
      <c r="AP9" s="12" t="s">
        <v>379</v>
      </c>
      <c r="AQ9" s="12" t="s">
        <v>379</v>
      </c>
      <c r="AR9" s="12"/>
      <c r="AS9" s="12"/>
      <c r="AT9" s="12"/>
      <c r="AU9" s="13">
        <v>43475</v>
      </c>
      <c r="AV9" s="12"/>
    </row>
    <row r="10" spans="1:48" ht="18" customHeight="1" x14ac:dyDescent="0.3">
      <c r="A10" s="12" t="s">
        <v>418</v>
      </c>
      <c r="B10" s="12" t="str">
        <f>IF(NOT(Flex[Parent WO]=""), HYPERLINK("http://ecow.ninja/maximo.html?p=" &amp;Flex[Parent WO],Flex[Parent WO]),"")</f>
        <v>K652516</v>
      </c>
      <c r="C10" s="12" t="s">
        <v>419</v>
      </c>
      <c r="D10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TK760841</v>
      </c>
      <c r="E10" s="12" t="s">
        <v>420</v>
      </c>
      <c r="F10" s="12" t="s">
        <v>421</v>
      </c>
      <c r="G10" s="13">
        <v>43480</v>
      </c>
      <c r="H10" s="13">
        <v>43483</v>
      </c>
      <c r="I10" s="12" t="s">
        <v>57</v>
      </c>
      <c r="J10" s="13">
        <v>43616</v>
      </c>
      <c r="K10" s="12" t="s">
        <v>379</v>
      </c>
      <c r="L10" s="1" t="s">
        <v>34</v>
      </c>
      <c r="M10" s="12">
        <v>3</v>
      </c>
      <c r="N10" s="12">
        <v>120</v>
      </c>
      <c r="O10" s="12">
        <v>2</v>
      </c>
      <c r="P10" s="14"/>
      <c r="Q10" s="14"/>
      <c r="R10" s="12" t="s">
        <v>30</v>
      </c>
      <c r="S10" s="12" t="s">
        <v>30</v>
      </c>
      <c r="T10" s="12" t="s">
        <v>37</v>
      </c>
      <c r="U10" s="12" t="s">
        <v>949</v>
      </c>
      <c r="V10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298217 Verified</v>
      </c>
      <c r="W10" s="12" t="s">
        <v>784</v>
      </c>
      <c r="X10" s="12" t="s">
        <v>762</v>
      </c>
      <c r="Y10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10" s="12" t="s">
        <v>762</v>
      </c>
      <c r="AA10" s="12" t="s">
        <v>762</v>
      </c>
      <c r="AB10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10" s="12" t="s">
        <v>762</v>
      </c>
      <c r="AD10" s="12" t="s">
        <v>762</v>
      </c>
      <c r="AE10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10" s="12" t="s">
        <v>762</v>
      </c>
      <c r="AG10" s="12" t="s">
        <v>762</v>
      </c>
      <c r="AH10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10" s="12" t="s">
        <v>762</v>
      </c>
      <c r="AJ10" s="12" t="s">
        <v>762</v>
      </c>
      <c r="AK10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10" s="12" t="s">
        <v>762</v>
      </c>
      <c r="AM10" s="12"/>
      <c r="AN10" s="12"/>
      <c r="AO10" s="12"/>
      <c r="AP10" s="12" t="s">
        <v>379</v>
      </c>
      <c r="AQ10" s="12"/>
      <c r="AR10" s="12"/>
      <c r="AS10" s="12"/>
      <c r="AT10" s="12"/>
      <c r="AU10" s="13">
        <v>43475</v>
      </c>
      <c r="AV10" s="12"/>
    </row>
    <row r="11" spans="1:48" ht="18" customHeight="1" x14ac:dyDescent="0.3">
      <c r="A11" s="12" t="s">
        <v>422</v>
      </c>
      <c r="B11" s="12" t="str">
        <f>IF(NOT(Flex[Parent WO]=""), HYPERLINK("http://ecow.ninja/maximo.html?p=" &amp;Flex[Parent WO],Flex[Parent WO]),"")</f>
        <v>K699916</v>
      </c>
      <c r="C11" s="12" t="s">
        <v>423</v>
      </c>
      <c r="D11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TK802089</v>
      </c>
      <c r="E11" s="12" t="s">
        <v>424</v>
      </c>
      <c r="F11" s="12" t="s">
        <v>425</v>
      </c>
      <c r="G11" s="13">
        <v>43481</v>
      </c>
      <c r="H11" s="13">
        <v>43482</v>
      </c>
      <c r="I11" s="12" t="s">
        <v>57</v>
      </c>
      <c r="J11" s="13">
        <v>43590</v>
      </c>
      <c r="K11" s="12" t="s">
        <v>379</v>
      </c>
      <c r="L11" s="1" t="s">
        <v>34</v>
      </c>
      <c r="M11" s="12">
        <v>3</v>
      </c>
      <c r="N11" s="12">
        <v>48</v>
      </c>
      <c r="O11" s="12">
        <v>2</v>
      </c>
      <c r="P11" s="14"/>
      <c r="Q11" s="14"/>
      <c r="R11" s="12" t="s">
        <v>30</v>
      </c>
      <c r="S11" s="12" t="s">
        <v>30</v>
      </c>
      <c r="T11" s="12" t="s">
        <v>37</v>
      </c>
      <c r="U11" s="12" t="s">
        <v>950</v>
      </c>
      <c r="V11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298773 Verified</v>
      </c>
      <c r="W11" s="12" t="s">
        <v>784</v>
      </c>
      <c r="X11" s="12" t="s">
        <v>762</v>
      </c>
      <c r="Y11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11" s="12" t="s">
        <v>762</v>
      </c>
      <c r="AA11" s="12" t="s">
        <v>762</v>
      </c>
      <c r="AB11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11" s="12" t="s">
        <v>762</v>
      </c>
      <c r="AD11" s="12" t="s">
        <v>762</v>
      </c>
      <c r="AE11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11" s="12" t="s">
        <v>762</v>
      </c>
      <c r="AG11" s="12" t="s">
        <v>762</v>
      </c>
      <c r="AH11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11" s="12" t="s">
        <v>762</v>
      </c>
      <c r="AJ11" s="12" t="s">
        <v>762</v>
      </c>
      <c r="AK11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11" s="12" t="s">
        <v>762</v>
      </c>
      <c r="AM11" s="12"/>
      <c r="AN11" s="12"/>
      <c r="AO11" s="12"/>
      <c r="AP11" s="12" t="s">
        <v>379</v>
      </c>
      <c r="AQ11" s="12"/>
      <c r="AR11" s="12"/>
      <c r="AS11" s="12"/>
      <c r="AT11" s="12"/>
      <c r="AU11" s="13">
        <v>43475</v>
      </c>
      <c r="AV11" s="12" t="s">
        <v>779</v>
      </c>
    </row>
    <row r="12" spans="1:48" ht="18" customHeight="1" x14ac:dyDescent="0.3">
      <c r="A12" s="12"/>
      <c r="B12" s="12" t="str">
        <f>IF(NOT(Flex[Parent WO]=""), HYPERLINK("http://ecow.ninja/maximo.html?p=" &amp;Flex[Parent WO],Flex[Parent WO]),"")</f>
        <v/>
      </c>
      <c r="C12" s="12" t="s">
        <v>48</v>
      </c>
      <c r="D12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1/17/2019</v>
      </c>
      <c r="E12" s="12"/>
      <c r="F12" s="12"/>
      <c r="G12" s="13"/>
      <c r="H12" s="13"/>
      <c r="I12" s="12"/>
      <c r="J12" s="13"/>
      <c r="K12" s="12"/>
      <c r="M12" s="12"/>
      <c r="N12" s="12"/>
      <c r="O12" s="12"/>
      <c r="P12" s="14"/>
      <c r="Q12" s="14"/>
      <c r="R12" s="12"/>
      <c r="S12" s="12"/>
      <c r="T12" s="12"/>
      <c r="U12" s="12" t="s">
        <v>762</v>
      </c>
      <c r="V12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12" s="12" t="s">
        <v>762</v>
      </c>
      <c r="X12" s="12" t="s">
        <v>762</v>
      </c>
      <c r="Y12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12" s="12" t="s">
        <v>762</v>
      </c>
      <c r="AA12" s="12" t="s">
        <v>762</v>
      </c>
      <c r="AB12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12" s="12" t="s">
        <v>762</v>
      </c>
      <c r="AD12" s="12" t="s">
        <v>762</v>
      </c>
      <c r="AE12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12" s="12" t="s">
        <v>762</v>
      </c>
      <c r="AG12" s="12" t="s">
        <v>762</v>
      </c>
      <c r="AH12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12" s="12" t="s">
        <v>762</v>
      </c>
      <c r="AJ12" s="12" t="s">
        <v>762</v>
      </c>
      <c r="AK12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12" s="12" t="s">
        <v>762</v>
      </c>
      <c r="AM12" s="12"/>
      <c r="AN12" s="12"/>
      <c r="AO12" s="12"/>
      <c r="AP12" s="12"/>
      <c r="AQ12" s="12"/>
      <c r="AR12" s="12"/>
      <c r="AS12" s="12"/>
      <c r="AT12" s="12"/>
      <c r="AU12" s="13">
        <v>43482</v>
      </c>
      <c r="AV12" s="12"/>
    </row>
    <row r="13" spans="1:48" ht="18" customHeight="1" x14ac:dyDescent="0.3">
      <c r="A13" s="12" t="s">
        <v>573</v>
      </c>
      <c r="B13" s="12" t="str">
        <f>IF(NOT(Flex[Parent WO]=""), HYPERLINK("http://ecow.ninja/maximo.html?p=" &amp;Flex[Parent WO],Flex[Parent WO]),"")</f>
        <v>K775209</v>
      </c>
      <c r="C13" s="12" t="s">
        <v>574</v>
      </c>
      <c r="D13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TK865823</v>
      </c>
      <c r="E13" s="12" t="s">
        <v>575</v>
      </c>
      <c r="F13" s="12" t="s">
        <v>566</v>
      </c>
      <c r="G13" s="13">
        <v>43482</v>
      </c>
      <c r="H13" s="13">
        <v>43483</v>
      </c>
      <c r="I13" s="12"/>
      <c r="J13" s="13">
        <v>43524</v>
      </c>
      <c r="K13" s="12" t="s">
        <v>379</v>
      </c>
      <c r="L13" s="1" t="s">
        <v>34</v>
      </c>
      <c r="M13" s="12">
        <v>4</v>
      </c>
      <c r="N13" s="12">
        <v>60</v>
      </c>
      <c r="O13" s="12">
        <v>4</v>
      </c>
      <c r="P13" s="14"/>
      <c r="Q13" s="14"/>
      <c r="R13" s="12" t="s">
        <v>30</v>
      </c>
      <c r="S13" s="12" t="s">
        <v>30</v>
      </c>
      <c r="T13" s="12" t="s">
        <v>37</v>
      </c>
      <c r="U13" s="12" t="s">
        <v>762</v>
      </c>
      <c r="V13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13" s="12" t="s">
        <v>762</v>
      </c>
      <c r="X13" s="12" t="s">
        <v>762</v>
      </c>
      <c r="Y13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13" s="12" t="s">
        <v>762</v>
      </c>
      <c r="AA13" s="12" t="s">
        <v>762</v>
      </c>
      <c r="AB13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13" s="12" t="s">
        <v>762</v>
      </c>
      <c r="AD13" s="12" t="s">
        <v>762</v>
      </c>
      <c r="AE13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13" s="12" t="s">
        <v>762</v>
      </c>
      <c r="AG13" s="12" t="s">
        <v>762</v>
      </c>
      <c r="AH13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13" s="12" t="s">
        <v>762</v>
      </c>
      <c r="AJ13" s="12" t="s">
        <v>762</v>
      </c>
      <c r="AK13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13" s="12" t="s">
        <v>762</v>
      </c>
      <c r="AM13" s="12"/>
      <c r="AN13" s="12"/>
      <c r="AO13" s="12" t="s">
        <v>32</v>
      </c>
      <c r="AP13" s="12" t="s">
        <v>379</v>
      </c>
      <c r="AQ13" s="12"/>
      <c r="AR13" s="12"/>
      <c r="AS13" s="12"/>
      <c r="AT13" s="12"/>
      <c r="AU13" s="13">
        <v>43482</v>
      </c>
      <c r="AV13" s="12" t="s">
        <v>777</v>
      </c>
    </row>
    <row r="14" spans="1:48" ht="18" customHeight="1" x14ac:dyDescent="0.3">
      <c r="A14" s="12" t="s">
        <v>426</v>
      </c>
      <c r="B14" s="12" t="str">
        <f>IF(NOT(Flex[Parent WO]=""), HYPERLINK("http://ecow.ninja/maximo.html?p=" &amp;Flex[Parent WO],Flex[Parent WO]),"")</f>
        <v>K687884</v>
      </c>
      <c r="C14" s="12" t="s">
        <v>427</v>
      </c>
      <c r="D14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TK802091</v>
      </c>
      <c r="E14" s="12" t="s">
        <v>428</v>
      </c>
      <c r="F14" s="12" t="s">
        <v>425</v>
      </c>
      <c r="G14" s="13">
        <v>43483</v>
      </c>
      <c r="H14" s="13">
        <v>43483</v>
      </c>
      <c r="I14" s="12" t="s">
        <v>57</v>
      </c>
      <c r="J14" s="13">
        <v>43590</v>
      </c>
      <c r="K14" s="12" t="s">
        <v>379</v>
      </c>
      <c r="L14" s="1" t="s">
        <v>29</v>
      </c>
      <c r="M14" s="12">
        <v>3</v>
      </c>
      <c r="N14" s="12">
        <v>30</v>
      </c>
      <c r="O14" s="12">
        <v>2</v>
      </c>
      <c r="P14" s="14"/>
      <c r="Q14" s="14"/>
      <c r="R14" s="12" t="s">
        <v>30</v>
      </c>
      <c r="S14" s="12" t="s">
        <v>42</v>
      </c>
      <c r="T14" s="12" t="s">
        <v>37</v>
      </c>
      <c r="U14" s="12" t="s">
        <v>951</v>
      </c>
      <c r="V14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298835 Verified</v>
      </c>
      <c r="W14" s="12" t="s">
        <v>784</v>
      </c>
      <c r="X14" s="12" t="s">
        <v>762</v>
      </c>
      <c r="Y14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14" s="12" t="s">
        <v>762</v>
      </c>
      <c r="AA14" s="12" t="s">
        <v>762</v>
      </c>
      <c r="AB14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14" s="12" t="s">
        <v>762</v>
      </c>
      <c r="AD14" s="12" t="s">
        <v>762</v>
      </c>
      <c r="AE14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14" s="12" t="s">
        <v>762</v>
      </c>
      <c r="AG14" s="12" t="s">
        <v>762</v>
      </c>
      <c r="AH14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14" s="12" t="s">
        <v>762</v>
      </c>
      <c r="AJ14" s="12" t="s">
        <v>762</v>
      </c>
      <c r="AK14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14" s="12" t="s">
        <v>762</v>
      </c>
      <c r="AM14" s="12"/>
      <c r="AN14" s="12"/>
      <c r="AO14" s="12"/>
      <c r="AP14" s="12" t="s">
        <v>379</v>
      </c>
      <c r="AQ14" s="12"/>
      <c r="AR14" s="12"/>
      <c r="AS14" s="12"/>
      <c r="AT14" s="12"/>
      <c r="AU14" s="13">
        <v>43482</v>
      </c>
      <c r="AV14" s="12" t="s">
        <v>791</v>
      </c>
    </row>
    <row r="15" spans="1:48" ht="18" customHeight="1" x14ac:dyDescent="0.3">
      <c r="A15" s="12" t="s">
        <v>586</v>
      </c>
      <c r="B15" s="12" t="str">
        <f>IF(NOT(Flex[Parent WO]=""), HYPERLINK("http://ecow.ninja/maximo.html?p=" &amp;Flex[Parent WO],Flex[Parent WO]),"")</f>
        <v>K781492</v>
      </c>
      <c r="C15" s="12" t="s">
        <v>587</v>
      </c>
      <c r="D15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TK870110</v>
      </c>
      <c r="E15" s="12" t="s">
        <v>588</v>
      </c>
      <c r="F15" s="12" t="s">
        <v>566</v>
      </c>
      <c r="G15" s="13">
        <v>43484</v>
      </c>
      <c r="H15" s="13">
        <v>43485</v>
      </c>
      <c r="I15" s="12"/>
      <c r="J15" s="13">
        <v>43524</v>
      </c>
      <c r="K15" s="12" t="s">
        <v>379</v>
      </c>
      <c r="L15" s="1" t="s">
        <v>34</v>
      </c>
      <c r="M15" s="12">
        <v>3</v>
      </c>
      <c r="N15" s="12">
        <v>69</v>
      </c>
      <c r="O15" s="12">
        <v>4</v>
      </c>
      <c r="P15" s="14"/>
      <c r="Q15" s="14"/>
      <c r="R15" s="12" t="s">
        <v>30</v>
      </c>
      <c r="S15" s="12" t="s">
        <v>30</v>
      </c>
      <c r="T15" s="12" t="s">
        <v>37</v>
      </c>
      <c r="U15" s="12" t="s">
        <v>952</v>
      </c>
      <c r="V15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296732 Verified</v>
      </c>
      <c r="W15" s="12" t="s">
        <v>784</v>
      </c>
      <c r="X15" s="12" t="s">
        <v>762</v>
      </c>
      <c r="Y15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15" s="12" t="s">
        <v>762</v>
      </c>
      <c r="AA15" s="12" t="s">
        <v>762</v>
      </c>
      <c r="AB15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15" s="12" t="s">
        <v>762</v>
      </c>
      <c r="AD15" s="12" t="s">
        <v>762</v>
      </c>
      <c r="AE15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15" s="12" t="s">
        <v>762</v>
      </c>
      <c r="AG15" s="12" t="s">
        <v>762</v>
      </c>
      <c r="AH15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15" s="12" t="s">
        <v>762</v>
      </c>
      <c r="AJ15" s="12" t="s">
        <v>762</v>
      </c>
      <c r="AK15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15" s="12" t="s">
        <v>762</v>
      </c>
      <c r="AM15" s="12"/>
      <c r="AN15" s="12"/>
      <c r="AO15" s="12"/>
      <c r="AP15" s="12" t="s">
        <v>379</v>
      </c>
      <c r="AQ15" s="12"/>
      <c r="AR15" s="12"/>
      <c r="AS15" s="12"/>
      <c r="AT15" s="12"/>
      <c r="AU15" s="13">
        <v>43482</v>
      </c>
      <c r="AV15" s="12"/>
    </row>
    <row r="16" spans="1:48" ht="18" customHeight="1" x14ac:dyDescent="0.3">
      <c r="A16" s="12" t="s">
        <v>429</v>
      </c>
      <c r="B16" s="12" t="str">
        <f>IF(NOT(Flex[Parent WO]=""), HYPERLINK("http://ecow.ninja/maximo.html?p=" &amp;Flex[Parent WO],Flex[Parent WO]),"")</f>
        <v>K699917</v>
      </c>
      <c r="C16" s="12" t="s">
        <v>430</v>
      </c>
      <c r="D16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TK802092</v>
      </c>
      <c r="E16" s="12" t="s">
        <v>431</v>
      </c>
      <c r="F16" s="12" t="s">
        <v>425</v>
      </c>
      <c r="G16" s="13">
        <v>43484</v>
      </c>
      <c r="H16" s="13">
        <v>43484</v>
      </c>
      <c r="I16" s="12" t="s">
        <v>57</v>
      </c>
      <c r="J16" s="13">
        <v>43590</v>
      </c>
      <c r="K16" s="12" t="s">
        <v>379</v>
      </c>
      <c r="L16" s="1" t="s">
        <v>34</v>
      </c>
      <c r="M16" s="12">
        <v>3</v>
      </c>
      <c r="N16" s="12">
        <v>30</v>
      </c>
      <c r="O16" s="12">
        <v>2</v>
      </c>
      <c r="P16" s="14"/>
      <c r="Q16" s="14"/>
      <c r="R16" s="12" t="s">
        <v>30</v>
      </c>
      <c r="S16" s="12" t="s">
        <v>30</v>
      </c>
      <c r="T16" s="12" t="s">
        <v>37</v>
      </c>
      <c r="U16" s="12" t="s">
        <v>950</v>
      </c>
      <c r="V16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298773 Verified</v>
      </c>
      <c r="W16" s="12" t="s">
        <v>784</v>
      </c>
      <c r="X16" s="12" t="s">
        <v>762</v>
      </c>
      <c r="Y16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16" s="12" t="s">
        <v>762</v>
      </c>
      <c r="AA16" s="12" t="s">
        <v>762</v>
      </c>
      <c r="AB16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16" s="12" t="s">
        <v>762</v>
      </c>
      <c r="AD16" s="12" t="s">
        <v>762</v>
      </c>
      <c r="AE16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16" s="12" t="s">
        <v>762</v>
      </c>
      <c r="AG16" s="12" t="s">
        <v>762</v>
      </c>
      <c r="AH16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16" s="12" t="s">
        <v>762</v>
      </c>
      <c r="AJ16" s="12" t="s">
        <v>762</v>
      </c>
      <c r="AK16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16" s="12" t="s">
        <v>762</v>
      </c>
      <c r="AM16" s="12"/>
      <c r="AN16" s="12"/>
      <c r="AO16" s="12"/>
      <c r="AP16" s="12" t="s">
        <v>379</v>
      </c>
      <c r="AQ16" s="12"/>
      <c r="AR16" s="12"/>
      <c r="AS16" s="12"/>
      <c r="AT16" s="12"/>
      <c r="AU16" s="13">
        <v>43482</v>
      </c>
      <c r="AV16" s="12" t="s">
        <v>779</v>
      </c>
    </row>
    <row r="17" spans="1:48" ht="18" customHeight="1" x14ac:dyDescent="0.3">
      <c r="A17" s="12" t="s">
        <v>432</v>
      </c>
      <c r="B17" s="12" t="str">
        <f>IF(NOT(Flex[Parent WO]=""), HYPERLINK("http://ecow.ninja/maximo.html?p=" &amp;Flex[Parent WO],Flex[Parent WO]),"")</f>
        <v>K652519</v>
      </c>
      <c r="C17" s="12" t="s">
        <v>433</v>
      </c>
      <c r="D17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TK760844</v>
      </c>
      <c r="E17" s="12" t="s">
        <v>434</v>
      </c>
      <c r="F17" s="12" t="s">
        <v>435</v>
      </c>
      <c r="G17" s="13">
        <v>43484</v>
      </c>
      <c r="H17" s="13">
        <v>43486</v>
      </c>
      <c r="I17" s="12" t="s">
        <v>57</v>
      </c>
      <c r="J17" s="13">
        <v>43616</v>
      </c>
      <c r="K17" s="12" t="s">
        <v>379</v>
      </c>
      <c r="L17" s="1" t="s">
        <v>34</v>
      </c>
      <c r="M17" s="12">
        <v>3</v>
      </c>
      <c r="N17" s="12">
        <v>90</v>
      </c>
      <c r="O17" s="12">
        <v>2</v>
      </c>
      <c r="P17" s="14"/>
      <c r="Q17" s="14"/>
      <c r="R17" s="12" t="s">
        <v>30</v>
      </c>
      <c r="S17" s="12" t="s">
        <v>30</v>
      </c>
      <c r="T17" s="12" t="s">
        <v>37</v>
      </c>
      <c r="U17" s="12" t="s">
        <v>953</v>
      </c>
      <c r="V17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298218 Verified</v>
      </c>
      <c r="W17" s="12" t="s">
        <v>784</v>
      </c>
      <c r="X17" s="12" t="s">
        <v>762</v>
      </c>
      <c r="Y17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17" s="12" t="s">
        <v>762</v>
      </c>
      <c r="AA17" s="12" t="s">
        <v>762</v>
      </c>
      <c r="AB17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17" s="12" t="s">
        <v>762</v>
      </c>
      <c r="AD17" s="12" t="s">
        <v>762</v>
      </c>
      <c r="AE17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17" s="12" t="s">
        <v>762</v>
      </c>
      <c r="AG17" s="12" t="s">
        <v>762</v>
      </c>
      <c r="AH17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17" s="12" t="s">
        <v>762</v>
      </c>
      <c r="AJ17" s="12" t="s">
        <v>762</v>
      </c>
      <c r="AK17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17" s="12" t="s">
        <v>762</v>
      </c>
      <c r="AM17" s="12"/>
      <c r="AN17" s="12"/>
      <c r="AO17" s="12"/>
      <c r="AP17" s="12" t="s">
        <v>379</v>
      </c>
      <c r="AQ17" s="12"/>
      <c r="AR17" s="12"/>
      <c r="AS17" s="12"/>
      <c r="AT17" s="12"/>
      <c r="AU17" s="13">
        <v>43482</v>
      </c>
      <c r="AV17" s="12"/>
    </row>
    <row r="18" spans="1:48" ht="18" customHeight="1" x14ac:dyDescent="0.3">
      <c r="A18" s="12" t="s">
        <v>436</v>
      </c>
      <c r="B18" s="12" t="str">
        <f>IF(NOT(Flex[Parent WO]=""), HYPERLINK("http://ecow.ninja/maximo.html?p=" &amp;Flex[Parent WO],Flex[Parent WO]),"")</f>
        <v>K718923</v>
      </c>
      <c r="C18" s="12" t="s">
        <v>437</v>
      </c>
      <c r="D18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TK863463</v>
      </c>
      <c r="E18" s="12" t="s">
        <v>438</v>
      </c>
      <c r="F18" s="12" t="s">
        <v>439</v>
      </c>
      <c r="G18" s="13">
        <v>43485</v>
      </c>
      <c r="H18" s="13">
        <v>43485</v>
      </c>
      <c r="I18" s="12" t="s">
        <v>36</v>
      </c>
      <c r="J18" s="13">
        <v>43524</v>
      </c>
      <c r="K18" s="12" t="s">
        <v>379</v>
      </c>
      <c r="L18" s="1" t="s">
        <v>29</v>
      </c>
      <c r="M18" s="12">
        <v>3</v>
      </c>
      <c r="N18" s="12">
        <v>34.5</v>
      </c>
      <c r="O18" s="12">
        <v>2</v>
      </c>
      <c r="P18" s="14"/>
      <c r="Q18" s="14"/>
      <c r="R18" s="12" t="s">
        <v>30</v>
      </c>
      <c r="S18" s="12" t="s">
        <v>30</v>
      </c>
      <c r="T18" s="12" t="s">
        <v>37</v>
      </c>
      <c r="U18" s="12" t="s">
        <v>954</v>
      </c>
      <c r="V18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299563 Verified</v>
      </c>
      <c r="W18" s="12" t="s">
        <v>784</v>
      </c>
      <c r="X18" s="12" t="s">
        <v>762</v>
      </c>
      <c r="Y18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18" s="12" t="s">
        <v>762</v>
      </c>
      <c r="AA18" s="12" t="s">
        <v>762</v>
      </c>
      <c r="AB18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18" s="12" t="s">
        <v>762</v>
      </c>
      <c r="AD18" s="12" t="s">
        <v>762</v>
      </c>
      <c r="AE18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18" s="12" t="s">
        <v>762</v>
      </c>
      <c r="AG18" s="12" t="s">
        <v>762</v>
      </c>
      <c r="AH18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18" s="12" t="s">
        <v>762</v>
      </c>
      <c r="AJ18" s="12" t="s">
        <v>762</v>
      </c>
      <c r="AK18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18" s="12" t="s">
        <v>762</v>
      </c>
      <c r="AM18" s="12"/>
      <c r="AN18" s="12"/>
      <c r="AO18" s="12" t="s">
        <v>41</v>
      </c>
      <c r="AP18" s="12" t="s">
        <v>379</v>
      </c>
      <c r="AQ18" s="12"/>
      <c r="AR18" s="12"/>
      <c r="AS18" s="12"/>
      <c r="AT18" s="12"/>
      <c r="AU18" s="13">
        <v>43482</v>
      </c>
      <c r="AV18" s="12"/>
    </row>
    <row r="19" spans="1:48" ht="18" customHeight="1" x14ac:dyDescent="0.3">
      <c r="A19" s="12" t="s">
        <v>392</v>
      </c>
      <c r="B19" s="12" t="str">
        <f>IF(NOT(Flex[Parent WO]=""), HYPERLINK("http://ecow.ninja/maximo.html?p=" &amp;Flex[Parent WO],Flex[Parent WO]),"")</f>
        <v>K196205</v>
      </c>
      <c r="C19" s="12" t="s">
        <v>393</v>
      </c>
      <c r="D19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TK642646</v>
      </c>
      <c r="E19" s="12" t="s">
        <v>394</v>
      </c>
      <c r="F19" s="12" t="s">
        <v>395</v>
      </c>
      <c r="G19" s="13">
        <v>43486</v>
      </c>
      <c r="H19" s="13">
        <v>43486</v>
      </c>
      <c r="I19" s="12" t="s">
        <v>59</v>
      </c>
      <c r="J19" s="13">
        <v>43754</v>
      </c>
      <c r="K19" s="12" t="s">
        <v>379</v>
      </c>
      <c r="L19" s="1" t="s">
        <v>29</v>
      </c>
      <c r="M19" s="12">
        <v>5</v>
      </c>
      <c r="N19" s="12">
        <v>50</v>
      </c>
      <c r="O19" s="12">
        <v>3</v>
      </c>
      <c r="P19" s="14"/>
      <c r="Q19" s="14"/>
      <c r="R19" s="12" t="s">
        <v>30</v>
      </c>
      <c r="S19" s="12" t="s">
        <v>30</v>
      </c>
      <c r="T19" s="12" t="s">
        <v>37</v>
      </c>
      <c r="U19" s="12" t="s">
        <v>955</v>
      </c>
      <c r="V19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299109 Verified</v>
      </c>
      <c r="W19" s="12" t="s">
        <v>784</v>
      </c>
      <c r="X19" s="12" t="s">
        <v>762</v>
      </c>
      <c r="Y19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19" s="12" t="s">
        <v>762</v>
      </c>
      <c r="AA19" s="12" t="s">
        <v>762</v>
      </c>
      <c r="AB19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19" s="12" t="s">
        <v>762</v>
      </c>
      <c r="AD19" s="12" t="s">
        <v>762</v>
      </c>
      <c r="AE19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19" s="12" t="s">
        <v>762</v>
      </c>
      <c r="AG19" s="12" t="s">
        <v>762</v>
      </c>
      <c r="AH19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19" s="12" t="s">
        <v>762</v>
      </c>
      <c r="AJ19" s="12" t="s">
        <v>762</v>
      </c>
      <c r="AK19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19" s="12" t="s">
        <v>762</v>
      </c>
      <c r="AM19" s="12"/>
      <c r="AN19" s="12"/>
      <c r="AO19" s="12" t="s">
        <v>38</v>
      </c>
      <c r="AP19" s="12" t="s">
        <v>379</v>
      </c>
      <c r="AQ19" s="12" t="s">
        <v>379</v>
      </c>
      <c r="AR19" s="12"/>
      <c r="AS19" s="12"/>
      <c r="AT19" s="12"/>
      <c r="AU19" s="13">
        <v>43482</v>
      </c>
      <c r="AV19" s="12" t="s">
        <v>780</v>
      </c>
    </row>
    <row r="20" spans="1:48" ht="18" customHeight="1" x14ac:dyDescent="0.3">
      <c r="A20" s="12" t="s">
        <v>576</v>
      </c>
      <c r="B20" s="12" t="str">
        <f>IF(NOT(Flex[Parent WO]=""), HYPERLINK("http://ecow.ninja/maximo.html?p=" &amp;Flex[Parent WO],Flex[Parent WO]),"")</f>
        <v>K775222</v>
      </c>
      <c r="C20" s="12" t="s">
        <v>577</v>
      </c>
      <c r="D20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TK865825</v>
      </c>
      <c r="E20" s="12" t="s">
        <v>578</v>
      </c>
      <c r="F20" s="12" t="s">
        <v>566</v>
      </c>
      <c r="G20" s="13">
        <v>43486</v>
      </c>
      <c r="H20" s="13">
        <v>43486</v>
      </c>
      <c r="I20" s="12"/>
      <c r="J20" s="13">
        <v>43524</v>
      </c>
      <c r="K20" s="12" t="s">
        <v>379</v>
      </c>
      <c r="L20" s="1" t="s">
        <v>34</v>
      </c>
      <c r="M20" s="12">
        <v>1</v>
      </c>
      <c r="N20" s="12">
        <v>6</v>
      </c>
      <c r="O20" s="12">
        <v>4</v>
      </c>
      <c r="P20" s="14"/>
      <c r="Q20" s="14"/>
      <c r="R20" s="12" t="s">
        <v>30</v>
      </c>
      <c r="S20" s="12" t="s">
        <v>30</v>
      </c>
      <c r="T20" s="12" t="s">
        <v>37</v>
      </c>
      <c r="U20" s="12" t="s">
        <v>762</v>
      </c>
      <c r="V20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20" s="12" t="s">
        <v>762</v>
      </c>
      <c r="X20" s="12" t="s">
        <v>762</v>
      </c>
      <c r="Y20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20" s="12" t="s">
        <v>762</v>
      </c>
      <c r="AA20" s="12" t="s">
        <v>762</v>
      </c>
      <c r="AB20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20" s="12" t="s">
        <v>762</v>
      </c>
      <c r="AD20" s="12" t="s">
        <v>762</v>
      </c>
      <c r="AE20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20" s="12" t="s">
        <v>762</v>
      </c>
      <c r="AG20" s="12" t="s">
        <v>762</v>
      </c>
      <c r="AH20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20" s="12" t="s">
        <v>762</v>
      </c>
      <c r="AJ20" s="12" t="s">
        <v>762</v>
      </c>
      <c r="AK20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20" s="12" t="s">
        <v>762</v>
      </c>
      <c r="AM20" s="12" t="s">
        <v>770</v>
      </c>
      <c r="AN20" s="12" t="s">
        <v>67</v>
      </c>
      <c r="AO20" s="12"/>
      <c r="AP20" s="12" t="s">
        <v>379</v>
      </c>
      <c r="AQ20" s="12"/>
      <c r="AR20" s="12"/>
      <c r="AS20" s="12"/>
      <c r="AT20" s="12"/>
      <c r="AU20" s="13">
        <v>43482</v>
      </c>
      <c r="AV20" s="12" t="s">
        <v>778</v>
      </c>
    </row>
    <row r="21" spans="1:48" ht="18" customHeight="1" x14ac:dyDescent="0.3">
      <c r="A21" s="12" t="s">
        <v>440</v>
      </c>
      <c r="B21" s="12" t="str">
        <f>IF(NOT(Flex[Parent WO]=""), HYPERLINK("http://ecow.ninja/maximo.html?p=" &amp;Flex[Parent WO],Flex[Parent WO]),"")</f>
        <v>K652518</v>
      </c>
      <c r="C21" s="12" t="s">
        <v>441</v>
      </c>
      <c r="D21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TK760843</v>
      </c>
      <c r="E21" s="12" t="s">
        <v>442</v>
      </c>
      <c r="F21" s="12" t="s">
        <v>443</v>
      </c>
      <c r="G21" s="13">
        <v>43487</v>
      </c>
      <c r="H21" s="13">
        <v>43491</v>
      </c>
      <c r="I21" s="12" t="s">
        <v>57</v>
      </c>
      <c r="J21" s="13">
        <v>43616</v>
      </c>
      <c r="K21" s="12" t="s">
        <v>379</v>
      </c>
      <c r="L21" s="1" t="s">
        <v>34</v>
      </c>
      <c r="M21" s="12">
        <v>3</v>
      </c>
      <c r="N21" s="12">
        <v>180</v>
      </c>
      <c r="O21" s="12">
        <v>2</v>
      </c>
      <c r="P21" s="14"/>
      <c r="Q21" s="14"/>
      <c r="R21" s="12" t="s">
        <v>30</v>
      </c>
      <c r="S21" s="12" t="s">
        <v>30</v>
      </c>
      <c r="T21" s="12" t="s">
        <v>37</v>
      </c>
      <c r="U21" s="12" t="s">
        <v>956</v>
      </c>
      <c r="V21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298219 Verified</v>
      </c>
      <c r="W21" s="12" t="s">
        <v>784</v>
      </c>
      <c r="X21" s="12" t="s">
        <v>762</v>
      </c>
      <c r="Y21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21" s="12" t="s">
        <v>762</v>
      </c>
      <c r="AA21" s="12" t="s">
        <v>762</v>
      </c>
      <c r="AB21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21" s="12" t="s">
        <v>762</v>
      </c>
      <c r="AD21" s="12" t="s">
        <v>762</v>
      </c>
      <c r="AE21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21" s="12" t="s">
        <v>762</v>
      </c>
      <c r="AG21" s="12" t="s">
        <v>762</v>
      </c>
      <c r="AH21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21" s="12" t="s">
        <v>762</v>
      </c>
      <c r="AJ21" s="12" t="s">
        <v>762</v>
      </c>
      <c r="AK21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21" s="12" t="s">
        <v>762</v>
      </c>
      <c r="AM21" s="12"/>
      <c r="AN21" s="12"/>
      <c r="AO21" s="12"/>
      <c r="AP21" s="12" t="s">
        <v>379</v>
      </c>
      <c r="AQ21" s="12"/>
      <c r="AR21" s="12"/>
      <c r="AS21" s="12"/>
      <c r="AT21" s="12"/>
      <c r="AU21" s="13">
        <v>43482</v>
      </c>
      <c r="AV21" s="12"/>
    </row>
    <row r="22" spans="1:48" ht="18" customHeight="1" x14ac:dyDescent="0.3">
      <c r="A22" s="12" t="s">
        <v>579</v>
      </c>
      <c r="B22" s="12" t="str">
        <f>IF(NOT(Flex[Parent WO]=""), HYPERLINK("http://ecow.ninja/maximo.html?p=" &amp;Flex[Parent WO],Flex[Parent WO]),"")</f>
        <v>K776227</v>
      </c>
      <c r="C22" s="12" t="s">
        <v>580</v>
      </c>
      <c r="D22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TK865826</v>
      </c>
      <c r="E22" s="12" t="s">
        <v>581</v>
      </c>
      <c r="F22" s="12" t="s">
        <v>566</v>
      </c>
      <c r="G22" s="13">
        <v>43487</v>
      </c>
      <c r="H22" s="13">
        <v>43487</v>
      </c>
      <c r="I22" s="12"/>
      <c r="J22" s="13">
        <v>43524</v>
      </c>
      <c r="K22" s="12" t="s">
        <v>379</v>
      </c>
      <c r="L22" s="1" t="s">
        <v>34</v>
      </c>
      <c r="M22" s="12">
        <v>3</v>
      </c>
      <c r="N22" s="12">
        <v>30</v>
      </c>
      <c r="O22" s="12">
        <v>4</v>
      </c>
      <c r="P22" s="14"/>
      <c r="Q22" s="14"/>
      <c r="R22" s="12" t="s">
        <v>30</v>
      </c>
      <c r="S22" s="12" t="s">
        <v>30</v>
      </c>
      <c r="T22" s="12" t="s">
        <v>37</v>
      </c>
      <c r="U22" s="12" t="s">
        <v>941</v>
      </c>
      <c r="V22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298579 Verified</v>
      </c>
      <c r="W22" s="12" t="s">
        <v>784</v>
      </c>
      <c r="X22" s="12" t="s">
        <v>762</v>
      </c>
      <c r="Y22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22" s="12" t="s">
        <v>762</v>
      </c>
      <c r="AA22" s="12" t="s">
        <v>762</v>
      </c>
      <c r="AB22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22" s="12" t="s">
        <v>762</v>
      </c>
      <c r="AD22" s="12" t="s">
        <v>762</v>
      </c>
      <c r="AE22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22" s="12" t="s">
        <v>762</v>
      </c>
      <c r="AG22" s="12" t="s">
        <v>762</v>
      </c>
      <c r="AH22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22" s="12" t="s">
        <v>762</v>
      </c>
      <c r="AJ22" s="12" t="s">
        <v>762</v>
      </c>
      <c r="AK22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22" s="12" t="s">
        <v>762</v>
      </c>
      <c r="AM22" s="12"/>
      <c r="AN22" s="12"/>
      <c r="AO22" s="12"/>
      <c r="AP22" s="12" t="s">
        <v>379</v>
      </c>
      <c r="AQ22" s="12"/>
      <c r="AR22" s="12"/>
      <c r="AS22" s="12"/>
      <c r="AT22" s="12"/>
      <c r="AU22" s="13">
        <v>43482</v>
      </c>
      <c r="AV22" s="12"/>
    </row>
    <row r="23" spans="1:48" ht="18" customHeight="1" x14ac:dyDescent="0.3">
      <c r="A23" s="12"/>
      <c r="B23" s="12" t="str">
        <f>IF(NOT(Flex[Parent WO]=""), HYPERLINK("http://ecow.ninja/maximo.html?p=" &amp;Flex[Parent WO],Flex[Parent WO]),"")</f>
        <v/>
      </c>
      <c r="C23" s="12"/>
      <c r="D23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/>
      </c>
      <c r="E23" s="12"/>
      <c r="F23" s="12"/>
      <c r="G23" s="13"/>
      <c r="H23" s="13"/>
      <c r="I23" s="12"/>
      <c r="J23" s="13"/>
      <c r="K23" s="12"/>
      <c r="M23" s="12"/>
      <c r="N23" s="12"/>
      <c r="O23" s="12"/>
      <c r="P23" s="14"/>
      <c r="Q23" s="14"/>
      <c r="R23" s="12"/>
      <c r="S23" s="12"/>
      <c r="T23" s="12"/>
      <c r="U23" s="12" t="s">
        <v>762</v>
      </c>
      <c r="V23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23" s="12" t="s">
        <v>762</v>
      </c>
      <c r="X23" s="12" t="s">
        <v>762</v>
      </c>
      <c r="Y23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23" s="12" t="s">
        <v>762</v>
      </c>
      <c r="AA23" s="12" t="s">
        <v>762</v>
      </c>
      <c r="AB23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23" s="12" t="s">
        <v>762</v>
      </c>
      <c r="AD23" s="12" t="s">
        <v>762</v>
      </c>
      <c r="AE23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23" s="12" t="s">
        <v>762</v>
      </c>
      <c r="AG23" s="12" t="s">
        <v>762</v>
      </c>
      <c r="AH23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23" s="12" t="s">
        <v>762</v>
      </c>
      <c r="AJ23" s="12" t="s">
        <v>762</v>
      </c>
      <c r="AK23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23" s="12" t="s">
        <v>762</v>
      </c>
      <c r="AM23" s="12"/>
      <c r="AN23" s="12"/>
      <c r="AO23" s="12"/>
      <c r="AP23" s="12"/>
      <c r="AQ23" s="12"/>
      <c r="AR23" s="12"/>
      <c r="AS23" s="12"/>
      <c r="AT23" s="12"/>
      <c r="AU23" s="13">
        <v>43489</v>
      </c>
      <c r="AV23" s="12"/>
    </row>
    <row r="24" spans="1:48" ht="18" customHeight="1" x14ac:dyDescent="0.3">
      <c r="A24" s="12"/>
      <c r="B24" s="12" t="str">
        <f>IF(NOT(Flex[Parent WO]=""), HYPERLINK("http://ecow.ninja/maximo.html?p=" &amp;Flex[Parent WO],Flex[Parent WO]),"")</f>
        <v/>
      </c>
      <c r="C24" s="12" t="s">
        <v>49</v>
      </c>
      <c r="D24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1/24/2019</v>
      </c>
      <c r="E24" s="12"/>
      <c r="F24" s="12"/>
      <c r="G24" s="13"/>
      <c r="H24" s="13"/>
      <c r="I24" s="12"/>
      <c r="J24" s="13"/>
      <c r="K24" s="12"/>
      <c r="M24" s="12"/>
      <c r="N24" s="12"/>
      <c r="O24" s="12"/>
      <c r="P24" s="14"/>
      <c r="Q24" s="14"/>
      <c r="R24" s="12"/>
      <c r="S24" s="12"/>
      <c r="T24" s="12"/>
      <c r="U24" s="12" t="s">
        <v>762</v>
      </c>
      <c r="V24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24" s="12" t="s">
        <v>762</v>
      </c>
      <c r="X24" s="12" t="s">
        <v>762</v>
      </c>
      <c r="Y24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24" s="12" t="s">
        <v>762</v>
      </c>
      <c r="AA24" s="12" t="s">
        <v>762</v>
      </c>
      <c r="AB24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24" s="12" t="s">
        <v>762</v>
      </c>
      <c r="AD24" s="12" t="s">
        <v>762</v>
      </c>
      <c r="AE24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24" s="12" t="s">
        <v>762</v>
      </c>
      <c r="AG24" s="12" t="s">
        <v>762</v>
      </c>
      <c r="AH24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24" s="12" t="s">
        <v>762</v>
      </c>
      <c r="AJ24" s="12" t="s">
        <v>762</v>
      </c>
      <c r="AK24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24" s="12" t="s">
        <v>762</v>
      </c>
      <c r="AM24" s="12"/>
      <c r="AN24" s="12"/>
      <c r="AO24" s="12"/>
      <c r="AP24" s="12"/>
      <c r="AQ24" s="12"/>
      <c r="AR24" s="12"/>
      <c r="AS24" s="12"/>
      <c r="AT24" s="12"/>
      <c r="AU24" s="13">
        <v>43489</v>
      </c>
      <c r="AV24" s="12"/>
    </row>
    <row r="25" spans="1:48" ht="18" customHeight="1" x14ac:dyDescent="0.3">
      <c r="A25" s="12" t="s">
        <v>444</v>
      </c>
      <c r="B25" s="12" t="str">
        <f>IF(NOT(Flex[Parent WO]=""), HYPERLINK("http://ecow.ninja/maximo.html?p=" &amp;Flex[Parent WO],Flex[Parent WO]),"")</f>
        <v>K724434</v>
      </c>
      <c r="C25" s="12" t="s">
        <v>445</v>
      </c>
      <c r="D25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TK822206</v>
      </c>
      <c r="E25" s="12" t="s">
        <v>446</v>
      </c>
      <c r="F25" s="12" t="s">
        <v>447</v>
      </c>
      <c r="G25" s="13">
        <v>43489</v>
      </c>
      <c r="H25" s="13">
        <v>43489</v>
      </c>
      <c r="I25" s="12" t="s">
        <v>36</v>
      </c>
      <c r="J25" s="13">
        <v>43525</v>
      </c>
      <c r="K25" s="12" t="s">
        <v>379</v>
      </c>
      <c r="L25" s="1" t="s">
        <v>34</v>
      </c>
      <c r="M25" s="12">
        <v>3</v>
      </c>
      <c r="N25" s="12">
        <v>6</v>
      </c>
      <c r="O25" s="12">
        <v>2</v>
      </c>
      <c r="P25" s="14"/>
      <c r="Q25" s="14"/>
      <c r="R25" s="12" t="s">
        <v>30</v>
      </c>
      <c r="S25" s="12" t="s">
        <v>30</v>
      </c>
      <c r="T25" s="12" t="s">
        <v>33</v>
      </c>
      <c r="U25" s="12" t="s">
        <v>957</v>
      </c>
      <c r="V25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299196 Verified</v>
      </c>
      <c r="W25" s="12" t="s">
        <v>784</v>
      </c>
      <c r="X25" s="12" t="s">
        <v>762</v>
      </c>
      <c r="Y25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25" s="12" t="s">
        <v>762</v>
      </c>
      <c r="AA25" s="12" t="s">
        <v>762</v>
      </c>
      <c r="AB25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25" s="12" t="s">
        <v>762</v>
      </c>
      <c r="AD25" s="12" t="s">
        <v>762</v>
      </c>
      <c r="AE25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25" s="12" t="s">
        <v>762</v>
      </c>
      <c r="AG25" s="12" t="s">
        <v>762</v>
      </c>
      <c r="AH25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25" s="12" t="s">
        <v>762</v>
      </c>
      <c r="AJ25" s="12" t="s">
        <v>762</v>
      </c>
      <c r="AK25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25" s="12" t="s">
        <v>762</v>
      </c>
      <c r="AM25" s="12"/>
      <c r="AN25" s="12"/>
      <c r="AO25" s="12"/>
      <c r="AP25" s="12" t="s">
        <v>379</v>
      </c>
      <c r="AQ25" s="12"/>
      <c r="AR25" s="12"/>
      <c r="AS25" s="12"/>
      <c r="AT25" s="12"/>
      <c r="AU25" s="13">
        <v>43489</v>
      </c>
      <c r="AV25" s="12"/>
    </row>
    <row r="26" spans="1:48" ht="18" customHeight="1" x14ac:dyDescent="0.3">
      <c r="A26" s="12" t="s">
        <v>448</v>
      </c>
      <c r="B26" s="12" t="str">
        <f>IF(NOT(Flex[Parent WO]=""), HYPERLINK("http://ecow.ninja/maximo.html?p=" &amp;Flex[Parent WO],Flex[Parent WO]),"")</f>
        <v>K701213</v>
      </c>
      <c r="C26" s="12" t="s">
        <v>449</v>
      </c>
      <c r="D26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TK822203</v>
      </c>
      <c r="E26" s="12" t="s">
        <v>450</v>
      </c>
      <c r="F26" s="12" t="s">
        <v>451</v>
      </c>
      <c r="G26" s="13">
        <v>43490</v>
      </c>
      <c r="H26" s="13">
        <v>43490</v>
      </c>
      <c r="I26" s="12" t="s">
        <v>36</v>
      </c>
      <c r="J26" s="13">
        <v>43525</v>
      </c>
      <c r="K26" s="12" t="s">
        <v>379</v>
      </c>
      <c r="L26" s="1" t="s">
        <v>29</v>
      </c>
      <c r="M26" s="12">
        <v>3</v>
      </c>
      <c r="N26" s="12">
        <v>24</v>
      </c>
      <c r="O26" s="12">
        <v>2</v>
      </c>
      <c r="P26" s="14"/>
      <c r="Q26" s="14"/>
      <c r="R26" s="12" t="s">
        <v>30</v>
      </c>
      <c r="S26" s="12" t="s">
        <v>30</v>
      </c>
      <c r="T26" s="12" t="s">
        <v>33</v>
      </c>
      <c r="U26" s="12" t="s">
        <v>958</v>
      </c>
      <c r="V26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299197 Verified</v>
      </c>
      <c r="W26" s="12" t="s">
        <v>784</v>
      </c>
      <c r="X26" s="12" t="s">
        <v>762</v>
      </c>
      <c r="Y26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26" s="12" t="s">
        <v>762</v>
      </c>
      <c r="AA26" s="12" t="s">
        <v>762</v>
      </c>
      <c r="AB26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26" s="12" t="s">
        <v>762</v>
      </c>
      <c r="AD26" s="12" t="s">
        <v>762</v>
      </c>
      <c r="AE26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26" s="12" t="s">
        <v>762</v>
      </c>
      <c r="AG26" s="12" t="s">
        <v>762</v>
      </c>
      <c r="AH26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26" s="12" t="s">
        <v>762</v>
      </c>
      <c r="AJ26" s="12" t="s">
        <v>762</v>
      </c>
      <c r="AK26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26" s="12" t="s">
        <v>762</v>
      </c>
      <c r="AM26" s="12" t="s">
        <v>742</v>
      </c>
      <c r="AN26" s="12" t="s">
        <v>45</v>
      </c>
      <c r="AO26" s="12"/>
      <c r="AP26" s="12" t="s">
        <v>379</v>
      </c>
      <c r="AQ26" s="12"/>
      <c r="AR26" s="12" t="s">
        <v>42</v>
      </c>
      <c r="AS26" s="12"/>
      <c r="AT26" s="12"/>
      <c r="AU26" s="13">
        <v>43489</v>
      </c>
      <c r="AV26" s="12"/>
    </row>
    <row r="27" spans="1:48" ht="18" customHeight="1" x14ac:dyDescent="0.3">
      <c r="A27" s="12" t="s">
        <v>452</v>
      </c>
      <c r="B27" s="12" t="str">
        <f>IF(NOT(Flex[Parent WO]=""), HYPERLINK("http://ecow.ninja/maximo.html?p=" &amp;Flex[Parent WO],Flex[Parent WO]),"")</f>
        <v>K777772</v>
      </c>
      <c r="C27" s="12" t="s">
        <v>453</v>
      </c>
      <c r="D27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TK866995</v>
      </c>
      <c r="E27" s="12" t="s">
        <v>454</v>
      </c>
      <c r="F27" s="12" t="s">
        <v>443</v>
      </c>
      <c r="G27" s="13">
        <v>43492</v>
      </c>
      <c r="H27" s="13">
        <v>43494</v>
      </c>
      <c r="I27" s="12"/>
      <c r="J27" s="13">
        <v>43616</v>
      </c>
      <c r="K27" s="12" t="s">
        <v>379</v>
      </c>
      <c r="L27" s="1" t="s">
        <v>34</v>
      </c>
      <c r="M27" s="12">
        <v>3</v>
      </c>
      <c r="N27" s="12">
        <v>90</v>
      </c>
      <c r="O27" s="12">
        <v>2</v>
      </c>
      <c r="P27" s="14"/>
      <c r="Q27" s="14"/>
      <c r="R27" s="12" t="s">
        <v>30</v>
      </c>
      <c r="S27" s="12" t="s">
        <v>30</v>
      </c>
      <c r="T27" s="12" t="s">
        <v>33</v>
      </c>
      <c r="U27" s="12" t="s">
        <v>956</v>
      </c>
      <c r="V27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298219 Verified</v>
      </c>
      <c r="W27" s="12" t="s">
        <v>784</v>
      </c>
      <c r="X27" s="12" t="s">
        <v>762</v>
      </c>
      <c r="Y27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27" s="12" t="s">
        <v>762</v>
      </c>
      <c r="AA27" s="12" t="s">
        <v>762</v>
      </c>
      <c r="AB27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27" s="12" t="s">
        <v>762</v>
      </c>
      <c r="AD27" s="12" t="s">
        <v>762</v>
      </c>
      <c r="AE27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27" s="12" t="s">
        <v>762</v>
      </c>
      <c r="AG27" s="12" t="s">
        <v>762</v>
      </c>
      <c r="AH27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27" s="12" t="s">
        <v>762</v>
      </c>
      <c r="AJ27" s="12" t="s">
        <v>762</v>
      </c>
      <c r="AK27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27" s="12" t="s">
        <v>762</v>
      </c>
      <c r="AM27" s="12"/>
      <c r="AN27" s="12"/>
      <c r="AO27" s="12"/>
      <c r="AP27" s="12" t="s">
        <v>379</v>
      </c>
      <c r="AQ27" s="12"/>
      <c r="AR27" s="12"/>
      <c r="AS27" s="12"/>
      <c r="AT27" s="12"/>
      <c r="AU27" s="13">
        <v>43489</v>
      </c>
      <c r="AV27" s="12"/>
    </row>
    <row r="28" spans="1:48" ht="18" customHeight="1" x14ac:dyDescent="0.3">
      <c r="A28" s="12" t="s">
        <v>455</v>
      </c>
      <c r="B28" s="12" t="str">
        <f>IF(NOT(Flex[Parent WO]=""), HYPERLINK("http://ecow.ninja/maximo.html?p=" &amp;Flex[Parent WO],Flex[Parent WO]),"")</f>
        <v>K713614</v>
      </c>
      <c r="C28" s="12" t="s">
        <v>456</v>
      </c>
      <c r="D28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TK813241</v>
      </c>
      <c r="E28" s="12" t="s">
        <v>457</v>
      </c>
      <c r="F28" s="12" t="s">
        <v>458</v>
      </c>
      <c r="G28" s="13">
        <v>43492</v>
      </c>
      <c r="H28" s="13">
        <v>43496</v>
      </c>
      <c r="I28" s="12" t="s">
        <v>57</v>
      </c>
      <c r="J28" s="13">
        <v>43738</v>
      </c>
      <c r="K28" s="12" t="s">
        <v>379</v>
      </c>
      <c r="L28" s="1" t="s">
        <v>29</v>
      </c>
      <c r="M28" s="12">
        <v>3</v>
      </c>
      <c r="N28" s="12">
        <v>172.5</v>
      </c>
      <c r="O28" s="12">
        <v>3</v>
      </c>
      <c r="P28" s="14"/>
      <c r="Q28" s="14"/>
      <c r="R28" s="12" t="s">
        <v>30</v>
      </c>
      <c r="S28" s="12" t="s">
        <v>30</v>
      </c>
      <c r="T28" s="12" t="s">
        <v>31</v>
      </c>
      <c r="U28" s="12" t="s">
        <v>959</v>
      </c>
      <c r="V28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262811 Closed</v>
      </c>
      <c r="W28" s="12" t="s">
        <v>789</v>
      </c>
      <c r="X28" s="12" t="s">
        <v>762</v>
      </c>
      <c r="Y28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28" s="12" t="s">
        <v>762</v>
      </c>
      <c r="AA28" s="12" t="s">
        <v>762</v>
      </c>
      <c r="AB28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28" s="12" t="s">
        <v>762</v>
      </c>
      <c r="AD28" s="12" t="s">
        <v>762</v>
      </c>
      <c r="AE28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28" s="12" t="s">
        <v>762</v>
      </c>
      <c r="AG28" s="12" t="s">
        <v>762</v>
      </c>
      <c r="AH28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28" s="12" t="s">
        <v>762</v>
      </c>
      <c r="AJ28" s="12" t="s">
        <v>762</v>
      </c>
      <c r="AK28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28" s="12" t="s">
        <v>762</v>
      </c>
      <c r="AM28" s="12"/>
      <c r="AN28" s="12"/>
      <c r="AO28" s="12"/>
      <c r="AP28" s="12" t="s">
        <v>379</v>
      </c>
      <c r="AQ28" s="12"/>
      <c r="AR28" s="12"/>
      <c r="AS28" s="12"/>
      <c r="AT28" s="12"/>
      <c r="AU28" s="13">
        <v>43489</v>
      </c>
      <c r="AV28" s="12"/>
    </row>
    <row r="29" spans="1:48" ht="18" customHeight="1" x14ac:dyDescent="0.3">
      <c r="A29" s="12" t="s">
        <v>459</v>
      </c>
      <c r="B29" s="12" t="str">
        <f>IF(NOT(Flex[Parent WO]=""), HYPERLINK("http://ecow.ninja/maximo.html?p=" &amp;Flex[Parent WO],Flex[Parent WO]),"")</f>
        <v>K777172</v>
      </c>
      <c r="C29" s="12" t="s">
        <v>460</v>
      </c>
      <c r="D29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TK866480</v>
      </c>
      <c r="E29" s="12" t="s">
        <v>461</v>
      </c>
      <c r="F29" s="12" t="s">
        <v>58</v>
      </c>
      <c r="G29" s="13">
        <v>43495</v>
      </c>
      <c r="H29" s="13">
        <v>43499</v>
      </c>
      <c r="I29" s="12" t="s">
        <v>59</v>
      </c>
      <c r="J29" s="13">
        <v>43524</v>
      </c>
      <c r="K29" s="12" t="s">
        <v>379</v>
      </c>
      <c r="L29" s="1" t="s">
        <v>34</v>
      </c>
      <c r="M29" s="12">
        <v>4</v>
      </c>
      <c r="N29" s="12">
        <v>232</v>
      </c>
      <c r="O29" s="12">
        <v>3</v>
      </c>
      <c r="P29" s="14"/>
      <c r="Q29" s="14"/>
      <c r="R29" s="12" t="s">
        <v>30</v>
      </c>
      <c r="S29" s="12" t="s">
        <v>30</v>
      </c>
      <c r="T29" s="12" t="s">
        <v>33</v>
      </c>
      <c r="U29" s="12" t="s">
        <v>960</v>
      </c>
      <c r="V29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300518 Draft</v>
      </c>
      <c r="W29" s="12" t="s">
        <v>788</v>
      </c>
      <c r="X29" s="12" t="s">
        <v>762</v>
      </c>
      <c r="Y29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29" s="12" t="s">
        <v>762</v>
      </c>
      <c r="AA29" s="12" t="s">
        <v>762</v>
      </c>
      <c r="AB29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29" s="12" t="s">
        <v>762</v>
      </c>
      <c r="AD29" s="12" t="s">
        <v>762</v>
      </c>
      <c r="AE29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29" s="12" t="s">
        <v>762</v>
      </c>
      <c r="AG29" s="12" t="s">
        <v>762</v>
      </c>
      <c r="AH29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29" s="12" t="s">
        <v>762</v>
      </c>
      <c r="AJ29" s="12" t="s">
        <v>762</v>
      </c>
      <c r="AK29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29" s="12" t="s">
        <v>762</v>
      </c>
      <c r="AM29" s="12"/>
      <c r="AN29" s="12"/>
      <c r="AO29" s="12"/>
      <c r="AP29" s="12" t="s">
        <v>379</v>
      </c>
      <c r="AQ29" s="12" t="s">
        <v>379</v>
      </c>
      <c r="AR29" s="12"/>
      <c r="AS29" s="12"/>
      <c r="AT29" s="12"/>
      <c r="AU29" s="13">
        <v>43489</v>
      </c>
      <c r="AV29" s="12" t="s">
        <v>1074</v>
      </c>
    </row>
    <row r="30" spans="1:48" ht="18" customHeight="1" x14ac:dyDescent="0.3">
      <c r="A30" s="12" t="s">
        <v>402</v>
      </c>
      <c r="B30" s="12" t="str">
        <f>IF(NOT(Flex[Parent WO]=""), HYPERLINK("http://ecow.ninja/maximo.html?p=" &amp;Flex[Parent WO],Flex[Parent WO]),"")</f>
        <v>K547126</v>
      </c>
      <c r="C30" s="12" t="s">
        <v>403</v>
      </c>
      <c r="D30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TK667745</v>
      </c>
      <c r="E30" s="12" t="s">
        <v>404</v>
      </c>
      <c r="F30" s="12" t="s">
        <v>405</v>
      </c>
      <c r="G30" s="13">
        <v>43495</v>
      </c>
      <c r="H30" s="13">
        <v>43496</v>
      </c>
      <c r="I30" s="12"/>
      <c r="J30" s="13">
        <v>43862</v>
      </c>
      <c r="K30" s="12" t="s">
        <v>379</v>
      </c>
      <c r="L30" s="1" t="s">
        <v>34</v>
      </c>
      <c r="M30" s="12">
        <v>5</v>
      </c>
      <c r="N30" s="12">
        <v>57.5</v>
      </c>
      <c r="O30" s="12">
        <v>1</v>
      </c>
      <c r="P30" s="14"/>
      <c r="Q30" s="14"/>
      <c r="R30" s="12" t="s">
        <v>30</v>
      </c>
      <c r="S30" s="12" t="s">
        <v>30</v>
      </c>
      <c r="T30" s="12" t="s">
        <v>31</v>
      </c>
      <c r="U30" s="12" t="s">
        <v>961</v>
      </c>
      <c r="V30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259942 Verified</v>
      </c>
      <c r="W30" s="12" t="s">
        <v>784</v>
      </c>
      <c r="X30" s="12" t="s">
        <v>962</v>
      </c>
      <c r="Y30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259946 Verified</v>
      </c>
      <c r="Z30" s="12" t="s">
        <v>785</v>
      </c>
      <c r="AA30" s="12" t="s">
        <v>762</v>
      </c>
      <c r="AB30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30" s="12" t="s">
        <v>762</v>
      </c>
      <c r="AD30" s="12" t="s">
        <v>762</v>
      </c>
      <c r="AE30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30" s="12" t="s">
        <v>762</v>
      </c>
      <c r="AG30" s="12" t="s">
        <v>762</v>
      </c>
      <c r="AH30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30" s="12" t="s">
        <v>762</v>
      </c>
      <c r="AJ30" s="12" t="s">
        <v>762</v>
      </c>
      <c r="AK30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30" s="12" t="s">
        <v>762</v>
      </c>
      <c r="AM30" s="12" t="s">
        <v>837</v>
      </c>
      <c r="AN30" s="12" t="s">
        <v>45</v>
      </c>
      <c r="AO30" s="12"/>
      <c r="AP30" s="12" t="s">
        <v>379</v>
      </c>
      <c r="AQ30" s="12" t="s">
        <v>379</v>
      </c>
      <c r="AR30" s="12"/>
      <c r="AS30" s="12"/>
      <c r="AT30" s="12"/>
      <c r="AU30" s="13">
        <v>43489</v>
      </c>
      <c r="AV30" s="12" t="s">
        <v>1071</v>
      </c>
    </row>
    <row r="31" spans="1:48" ht="18" customHeight="1" x14ac:dyDescent="0.3">
      <c r="A31" s="12" t="s">
        <v>462</v>
      </c>
      <c r="B31" s="12" t="str">
        <f>IF(NOT(Flex[Parent WO]=""), HYPERLINK("http://ecow.ninja/maximo.html?p=" &amp;Flex[Parent WO],Flex[Parent WO]),"")</f>
        <v>K652517</v>
      </c>
      <c r="C31" s="12" t="s">
        <v>463</v>
      </c>
      <c r="D31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TK760842</v>
      </c>
      <c r="E31" s="12" t="s">
        <v>464</v>
      </c>
      <c r="F31" s="12" t="s">
        <v>465</v>
      </c>
      <c r="G31" s="13">
        <v>43495</v>
      </c>
      <c r="H31" s="13">
        <v>43496</v>
      </c>
      <c r="I31" s="12" t="s">
        <v>57</v>
      </c>
      <c r="J31" s="13">
        <v>43616</v>
      </c>
      <c r="K31" s="12" t="s">
        <v>379</v>
      </c>
      <c r="L31" s="1" t="s">
        <v>34</v>
      </c>
      <c r="M31" s="12">
        <v>3</v>
      </c>
      <c r="N31" s="12">
        <v>60</v>
      </c>
      <c r="O31" s="12">
        <v>2</v>
      </c>
      <c r="P31" s="14"/>
      <c r="Q31" s="14"/>
      <c r="R31" s="12" t="s">
        <v>30</v>
      </c>
      <c r="S31" s="12" t="s">
        <v>30</v>
      </c>
      <c r="T31" s="12" t="s">
        <v>33</v>
      </c>
      <c r="U31" s="12" t="s">
        <v>963</v>
      </c>
      <c r="V31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298220 Verified</v>
      </c>
      <c r="W31" s="12" t="s">
        <v>784</v>
      </c>
      <c r="X31" s="12" t="s">
        <v>762</v>
      </c>
      <c r="Y31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31" s="12" t="s">
        <v>762</v>
      </c>
      <c r="AA31" s="12" t="s">
        <v>762</v>
      </c>
      <c r="AB31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31" s="12" t="s">
        <v>762</v>
      </c>
      <c r="AD31" s="12" t="s">
        <v>762</v>
      </c>
      <c r="AE31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31" s="12" t="s">
        <v>762</v>
      </c>
      <c r="AG31" s="12" t="s">
        <v>762</v>
      </c>
      <c r="AH31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31" s="12" t="s">
        <v>762</v>
      </c>
      <c r="AJ31" s="12" t="s">
        <v>762</v>
      </c>
      <c r="AK31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31" s="12" t="s">
        <v>762</v>
      </c>
      <c r="AM31" s="12"/>
      <c r="AN31" s="12"/>
      <c r="AO31" s="12"/>
      <c r="AP31" s="12" t="s">
        <v>379</v>
      </c>
      <c r="AQ31" s="12"/>
      <c r="AR31" s="12"/>
      <c r="AS31" s="12"/>
      <c r="AT31" s="12"/>
      <c r="AU31" s="13">
        <v>43489</v>
      </c>
      <c r="AV31" s="12"/>
    </row>
    <row r="32" spans="1:48" ht="18" customHeight="1" x14ac:dyDescent="0.3">
      <c r="A32" s="12"/>
      <c r="B32" s="12" t="str">
        <f>IF(NOT(Flex[Parent WO]=""), HYPERLINK("http://ecow.ninja/maximo.html?p=" &amp;Flex[Parent WO],Flex[Parent WO]),"")</f>
        <v/>
      </c>
      <c r="C32" s="12" t="s">
        <v>50</v>
      </c>
      <c r="D32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1/31/2019</v>
      </c>
      <c r="E32" s="12"/>
      <c r="F32" s="12"/>
      <c r="G32" s="13"/>
      <c r="H32" s="13"/>
      <c r="I32" s="12"/>
      <c r="J32" s="13"/>
      <c r="K32" s="12"/>
      <c r="M32" s="12"/>
      <c r="N32" s="12"/>
      <c r="O32" s="12"/>
      <c r="P32" s="14"/>
      <c r="Q32" s="14"/>
      <c r="R32" s="12"/>
      <c r="S32" s="12"/>
      <c r="T32" s="12"/>
      <c r="U32" s="12" t="s">
        <v>762</v>
      </c>
      <c r="V32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32" s="12" t="s">
        <v>762</v>
      </c>
      <c r="X32" s="12" t="s">
        <v>762</v>
      </c>
      <c r="Y32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32" s="12" t="s">
        <v>762</v>
      </c>
      <c r="AA32" s="12" t="s">
        <v>762</v>
      </c>
      <c r="AB32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32" s="12" t="s">
        <v>762</v>
      </c>
      <c r="AD32" s="12" t="s">
        <v>762</v>
      </c>
      <c r="AE32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32" s="12" t="s">
        <v>762</v>
      </c>
      <c r="AG32" s="12" t="s">
        <v>762</v>
      </c>
      <c r="AH32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32" s="12" t="s">
        <v>762</v>
      </c>
      <c r="AJ32" s="12" t="s">
        <v>762</v>
      </c>
      <c r="AK32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32" s="12" t="s">
        <v>762</v>
      </c>
      <c r="AM32" s="12"/>
      <c r="AN32" s="12"/>
      <c r="AO32" s="12"/>
      <c r="AP32" s="12"/>
      <c r="AQ32" s="12"/>
      <c r="AR32" s="12"/>
      <c r="AS32" s="12"/>
      <c r="AT32" s="12"/>
      <c r="AU32" s="13">
        <v>43496</v>
      </c>
      <c r="AV32" s="12"/>
    </row>
    <row r="33" spans="1:48" ht="18" customHeight="1" x14ac:dyDescent="0.3">
      <c r="A33" s="12" t="s">
        <v>466</v>
      </c>
      <c r="B33" s="12" t="str">
        <f>IF(NOT(Flex[Parent WO]=""), HYPERLINK("http://ecow.ninja/maximo.html?p=" &amp;Flex[Parent WO],Flex[Parent WO]),"")</f>
        <v>K777771</v>
      </c>
      <c r="C33" s="12" t="s">
        <v>467</v>
      </c>
      <c r="D33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TK866993</v>
      </c>
      <c r="E33" s="12" t="s">
        <v>468</v>
      </c>
      <c r="F33" s="12" t="s">
        <v>465</v>
      </c>
      <c r="G33" s="13">
        <v>43497</v>
      </c>
      <c r="H33" s="13">
        <v>43498</v>
      </c>
      <c r="I33" s="12"/>
      <c r="J33" s="13">
        <v>43616</v>
      </c>
      <c r="K33" s="12" t="s">
        <v>379</v>
      </c>
      <c r="L33" s="1" t="s">
        <v>34</v>
      </c>
      <c r="M33" s="12">
        <v>3</v>
      </c>
      <c r="N33" s="12">
        <v>69</v>
      </c>
      <c r="O33" s="12">
        <v>2</v>
      </c>
      <c r="P33" s="14"/>
      <c r="Q33" s="14"/>
      <c r="R33" s="12" t="s">
        <v>30</v>
      </c>
      <c r="S33" s="12" t="s">
        <v>30</v>
      </c>
      <c r="T33" s="12" t="s">
        <v>33</v>
      </c>
      <c r="U33" s="12" t="s">
        <v>963</v>
      </c>
      <c r="V33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298220 Verified</v>
      </c>
      <c r="W33" s="12" t="s">
        <v>784</v>
      </c>
      <c r="X33" s="12" t="s">
        <v>762</v>
      </c>
      <c r="Y33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33" s="12" t="s">
        <v>762</v>
      </c>
      <c r="AA33" s="12" t="s">
        <v>762</v>
      </c>
      <c r="AB33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33" s="12" t="s">
        <v>762</v>
      </c>
      <c r="AD33" s="12" t="s">
        <v>762</v>
      </c>
      <c r="AE33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33" s="12" t="s">
        <v>762</v>
      </c>
      <c r="AG33" s="12" t="s">
        <v>762</v>
      </c>
      <c r="AH33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33" s="12" t="s">
        <v>762</v>
      </c>
      <c r="AJ33" s="12" t="s">
        <v>762</v>
      </c>
      <c r="AK33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33" s="12" t="s">
        <v>762</v>
      </c>
      <c r="AM33" s="12"/>
      <c r="AN33" s="12"/>
      <c r="AO33" s="12"/>
      <c r="AP33" s="12" t="s">
        <v>379</v>
      </c>
      <c r="AQ33" s="12"/>
      <c r="AR33" s="12"/>
      <c r="AS33" s="12"/>
      <c r="AT33" s="12"/>
      <c r="AU33" s="13">
        <v>43496</v>
      </c>
      <c r="AV33" s="12"/>
    </row>
    <row r="34" spans="1:48" ht="18" customHeight="1" x14ac:dyDescent="0.3">
      <c r="A34" s="12" t="s">
        <v>469</v>
      </c>
      <c r="B34" s="12" t="str">
        <f>IF(NOT(Flex[Parent WO]=""), HYPERLINK("http://ecow.ninja/maximo.html?p=" &amp;Flex[Parent WO],Flex[Parent WO]),"")</f>
        <v>K555345</v>
      </c>
      <c r="C34" s="12" t="s">
        <v>470</v>
      </c>
      <c r="D34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TK719485</v>
      </c>
      <c r="E34" s="12" t="s">
        <v>471</v>
      </c>
      <c r="F34" s="12" t="s">
        <v>46</v>
      </c>
      <c r="G34" s="13">
        <v>43497</v>
      </c>
      <c r="H34" s="13">
        <v>43497</v>
      </c>
      <c r="I34" s="12"/>
      <c r="J34" s="13">
        <v>43556</v>
      </c>
      <c r="K34" s="12" t="s">
        <v>379</v>
      </c>
      <c r="L34" s="1" t="s">
        <v>29</v>
      </c>
      <c r="M34" s="12">
        <v>4</v>
      </c>
      <c r="N34" s="12">
        <v>40</v>
      </c>
      <c r="O34" s="12">
        <v>1</v>
      </c>
      <c r="P34" s="14"/>
      <c r="Q34" s="14"/>
      <c r="R34" s="12" t="s">
        <v>30</v>
      </c>
      <c r="S34" s="12" t="s">
        <v>42</v>
      </c>
      <c r="T34" s="12" t="s">
        <v>31</v>
      </c>
      <c r="U34" s="12" t="s">
        <v>964</v>
      </c>
      <c r="V34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255943 Verified</v>
      </c>
      <c r="W34" s="12" t="s">
        <v>784</v>
      </c>
      <c r="X34" s="12" t="s">
        <v>965</v>
      </c>
      <c r="Y34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256162 RTV</v>
      </c>
      <c r="Z34" s="12" t="s">
        <v>786</v>
      </c>
      <c r="AA34" s="12" t="s">
        <v>762</v>
      </c>
      <c r="AB34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34" s="12" t="s">
        <v>762</v>
      </c>
      <c r="AD34" s="12" t="s">
        <v>762</v>
      </c>
      <c r="AE34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34" s="12" t="s">
        <v>762</v>
      </c>
      <c r="AG34" s="12" t="s">
        <v>762</v>
      </c>
      <c r="AH34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34" s="12" t="s">
        <v>762</v>
      </c>
      <c r="AJ34" s="12" t="s">
        <v>762</v>
      </c>
      <c r="AK34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34" s="12" t="s">
        <v>762</v>
      </c>
      <c r="AM34" s="12" t="s">
        <v>38</v>
      </c>
      <c r="AN34" s="12" t="s">
        <v>39</v>
      </c>
      <c r="AO34" s="12" t="s">
        <v>32</v>
      </c>
      <c r="AP34" s="12" t="s">
        <v>379</v>
      </c>
      <c r="AQ34" s="12" t="s">
        <v>379</v>
      </c>
      <c r="AR34" s="12"/>
      <c r="AS34" s="12"/>
      <c r="AT34" s="12"/>
      <c r="AU34" s="13">
        <v>43496</v>
      </c>
      <c r="AV34" s="12" t="s">
        <v>1073</v>
      </c>
    </row>
    <row r="35" spans="1:48" ht="18" customHeight="1" x14ac:dyDescent="0.3">
      <c r="A35" s="12" t="s">
        <v>472</v>
      </c>
      <c r="B35" s="12" t="str">
        <f>IF(NOT(Flex[Parent WO]=""), HYPERLINK("http://ecow.ninja/maximo.html?p=" &amp;Flex[Parent WO],Flex[Parent WO]),"")</f>
        <v>K775310</v>
      </c>
      <c r="C35" s="12" t="s">
        <v>473</v>
      </c>
      <c r="D35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TK865024</v>
      </c>
      <c r="E35" s="12" t="s">
        <v>474</v>
      </c>
      <c r="F35" s="12" t="s">
        <v>46</v>
      </c>
      <c r="G35" s="13">
        <v>43498</v>
      </c>
      <c r="H35" s="13">
        <v>43498</v>
      </c>
      <c r="I35" s="12"/>
      <c r="J35" s="13">
        <v>43555</v>
      </c>
      <c r="K35" s="12" t="s">
        <v>379</v>
      </c>
      <c r="L35" s="1" t="s">
        <v>34</v>
      </c>
      <c r="M35" s="12">
        <v>3</v>
      </c>
      <c r="N35" s="12">
        <v>30</v>
      </c>
      <c r="O35" s="12">
        <v>1</v>
      </c>
      <c r="P35" s="14"/>
      <c r="Q35" s="14"/>
      <c r="R35" s="12" t="s">
        <v>30</v>
      </c>
      <c r="S35" s="12" t="s">
        <v>30</v>
      </c>
      <c r="T35" s="12" t="s">
        <v>33</v>
      </c>
      <c r="U35" s="12" t="s">
        <v>965</v>
      </c>
      <c r="V35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256162 RTV</v>
      </c>
      <c r="W35" s="12" t="s">
        <v>786</v>
      </c>
      <c r="X35" s="12" t="s">
        <v>762</v>
      </c>
      <c r="Y35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35" s="12" t="s">
        <v>762</v>
      </c>
      <c r="AA35" s="12" t="s">
        <v>762</v>
      </c>
      <c r="AB35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35" s="12" t="s">
        <v>762</v>
      </c>
      <c r="AD35" s="12" t="s">
        <v>762</v>
      </c>
      <c r="AE35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35" s="12" t="s">
        <v>762</v>
      </c>
      <c r="AG35" s="12" t="s">
        <v>762</v>
      </c>
      <c r="AH35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35" s="12" t="s">
        <v>762</v>
      </c>
      <c r="AJ35" s="12" t="s">
        <v>762</v>
      </c>
      <c r="AK35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35" s="12" t="s">
        <v>762</v>
      </c>
      <c r="AM35" s="12" t="s">
        <v>771</v>
      </c>
      <c r="AN35" s="12" t="s">
        <v>39</v>
      </c>
      <c r="AO35" s="12"/>
      <c r="AP35" s="12" t="s">
        <v>379</v>
      </c>
      <c r="AQ35" s="12"/>
      <c r="AR35" s="12"/>
      <c r="AS35" s="12"/>
      <c r="AT35" s="12"/>
      <c r="AU35" s="13">
        <v>43496</v>
      </c>
      <c r="AV35" s="12" t="s">
        <v>1073</v>
      </c>
    </row>
    <row r="36" spans="1:48" ht="18" customHeight="1" x14ac:dyDescent="0.3">
      <c r="A36" s="12" t="s">
        <v>475</v>
      </c>
      <c r="B36" s="12" t="str">
        <f>IF(NOT(Flex[Parent WO]=""), HYPERLINK("http://ecow.ninja/maximo.html?p=" &amp;Flex[Parent WO],Flex[Parent WO]),"")</f>
        <v>K739234</v>
      </c>
      <c r="C36" s="12" t="s">
        <v>476</v>
      </c>
      <c r="D36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TK836590</v>
      </c>
      <c r="E36" s="12" t="s">
        <v>477</v>
      </c>
      <c r="F36" s="12" t="s">
        <v>478</v>
      </c>
      <c r="G36" s="13">
        <v>43499</v>
      </c>
      <c r="H36" s="13">
        <v>43499</v>
      </c>
      <c r="I36" s="12" t="s">
        <v>57</v>
      </c>
      <c r="J36" s="13">
        <v>43616</v>
      </c>
      <c r="K36" s="12" t="s">
        <v>379</v>
      </c>
      <c r="L36" s="1" t="s">
        <v>34</v>
      </c>
      <c r="M36" s="12">
        <v>3</v>
      </c>
      <c r="N36" s="12">
        <v>15</v>
      </c>
      <c r="O36" s="12">
        <v>2</v>
      </c>
      <c r="P36" s="14"/>
      <c r="Q36" s="14"/>
      <c r="R36" s="12" t="s">
        <v>30</v>
      </c>
      <c r="S36" s="12" t="s">
        <v>30</v>
      </c>
      <c r="T36" s="12" t="s">
        <v>33</v>
      </c>
      <c r="U36" s="12" t="s">
        <v>966</v>
      </c>
      <c r="V36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299565 Verified</v>
      </c>
      <c r="W36" s="12" t="s">
        <v>784</v>
      </c>
      <c r="X36" s="12" t="s">
        <v>762</v>
      </c>
      <c r="Y36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36" s="12" t="s">
        <v>762</v>
      </c>
      <c r="AA36" s="12" t="s">
        <v>762</v>
      </c>
      <c r="AB36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36" s="12" t="s">
        <v>762</v>
      </c>
      <c r="AD36" s="12" t="s">
        <v>762</v>
      </c>
      <c r="AE36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36" s="12" t="s">
        <v>762</v>
      </c>
      <c r="AG36" s="12" t="s">
        <v>762</v>
      </c>
      <c r="AH36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36" s="12" t="s">
        <v>762</v>
      </c>
      <c r="AJ36" s="12" t="s">
        <v>762</v>
      </c>
      <c r="AK36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36" s="12" t="s">
        <v>762</v>
      </c>
      <c r="AM36" s="12"/>
      <c r="AN36" s="12"/>
      <c r="AO36" s="12"/>
      <c r="AP36" s="12" t="s">
        <v>379</v>
      </c>
      <c r="AQ36" s="12"/>
      <c r="AR36" s="12"/>
      <c r="AS36" s="12"/>
      <c r="AT36" s="12"/>
      <c r="AU36" s="13">
        <v>43496</v>
      </c>
      <c r="AV36" s="12"/>
    </row>
    <row r="37" spans="1:48" ht="18" customHeight="1" x14ac:dyDescent="0.3">
      <c r="A37" s="12" t="s">
        <v>388</v>
      </c>
      <c r="B37" s="12" t="str">
        <f>IF(NOT(Flex[Parent WO]=""), HYPERLINK("http://ecow.ninja/maximo.html?p=" &amp;Flex[Parent WO],Flex[Parent WO]),"")</f>
        <v>K725088</v>
      </c>
      <c r="C37" s="12" t="s">
        <v>389</v>
      </c>
      <c r="D37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TK841829</v>
      </c>
      <c r="E37" s="12" t="s">
        <v>390</v>
      </c>
      <c r="F37" s="12" t="s">
        <v>391</v>
      </c>
      <c r="G37" s="13">
        <v>43499</v>
      </c>
      <c r="H37" s="13">
        <v>43500</v>
      </c>
      <c r="I37" s="12" t="s">
        <v>59</v>
      </c>
      <c r="J37" s="13">
        <v>43555</v>
      </c>
      <c r="K37" s="12" t="s">
        <v>379</v>
      </c>
      <c r="L37" s="1" t="s">
        <v>29</v>
      </c>
      <c r="M37" s="12">
        <v>3</v>
      </c>
      <c r="N37" s="12">
        <v>60</v>
      </c>
      <c r="O37" s="12">
        <v>2</v>
      </c>
      <c r="P37" s="14"/>
      <c r="Q37" s="14"/>
      <c r="R37" s="12" t="s">
        <v>30</v>
      </c>
      <c r="S37" s="12" t="s">
        <v>30</v>
      </c>
      <c r="T37" s="12" t="s">
        <v>33</v>
      </c>
      <c r="U37" s="12" t="s">
        <v>967</v>
      </c>
      <c r="V37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293627 Verified</v>
      </c>
      <c r="W37" s="12" t="s">
        <v>784</v>
      </c>
      <c r="X37" s="12" t="s">
        <v>762</v>
      </c>
      <c r="Y37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37" s="12" t="s">
        <v>762</v>
      </c>
      <c r="AA37" s="12" t="s">
        <v>762</v>
      </c>
      <c r="AB37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37" s="12" t="s">
        <v>762</v>
      </c>
      <c r="AD37" s="12" t="s">
        <v>762</v>
      </c>
      <c r="AE37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37" s="12" t="s">
        <v>762</v>
      </c>
      <c r="AG37" s="12" t="s">
        <v>762</v>
      </c>
      <c r="AH37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37" s="12" t="s">
        <v>762</v>
      </c>
      <c r="AJ37" s="12" t="s">
        <v>762</v>
      </c>
      <c r="AK37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37" s="12" t="s">
        <v>762</v>
      </c>
      <c r="AM37" s="12"/>
      <c r="AN37" s="12"/>
      <c r="AO37" s="12"/>
      <c r="AP37" s="12" t="s">
        <v>379</v>
      </c>
      <c r="AQ37" s="12"/>
      <c r="AR37" s="12"/>
      <c r="AS37" s="12"/>
      <c r="AT37" s="12"/>
      <c r="AU37" s="13">
        <v>43496</v>
      </c>
      <c r="AV37" s="12"/>
    </row>
    <row r="38" spans="1:48" ht="18" customHeight="1" x14ac:dyDescent="0.3">
      <c r="A38" s="12" t="s">
        <v>482</v>
      </c>
      <c r="B38" s="12" t="str">
        <f>IF(NOT(Flex[Parent WO]=""), HYPERLINK("http://ecow.ninja/maximo.html?p=" &amp;Flex[Parent WO],Flex[Parent WO]),"")</f>
        <v>K652514</v>
      </c>
      <c r="C38" s="12" t="s">
        <v>483</v>
      </c>
      <c r="D38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TK760839</v>
      </c>
      <c r="E38" s="12" t="s">
        <v>484</v>
      </c>
      <c r="F38" s="12" t="s">
        <v>413</v>
      </c>
      <c r="G38" s="13">
        <v>43500</v>
      </c>
      <c r="H38" s="13">
        <v>43500</v>
      </c>
      <c r="I38" s="12" t="s">
        <v>57</v>
      </c>
      <c r="J38" s="13">
        <v>43615</v>
      </c>
      <c r="K38" s="12" t="s">
        <v>379</v>
      </c>
      <c r="L38" s="1" t="s">
        <v>29</v>
      </c>
      <c r="M38" s="12">
        <v>3</v>
      </c>
      <c r="N38" s="12">
        <v>30</v>
      </c>
      <c r="O38" s="12">
        <v>2</v>
      </c>
      <c r="P38" s="14"/>
      <c r="Q38" s="14"/>
      <c r="R38" s="12" t="s">
        <v>30</v>
      </c>
      <c r="S38" s="12" t="s">
        <v>30</v>
      </c>
      <c r="T38" s="12" t="s">
        <v>33</v>
      </c>
      <c r="U38" s="12" t="s">
        <v>944</v>
      </c>
      <c r="V38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298223 Verified</v>
      </c>
      <c r="W38" s="12" t="s">
        <v>784</v>
      </c>
      <c r="X38" s="12" t="s">
        <v>943</v>
      </c>
      <c r="Y38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298224 Verified</v>
      </c>
      <c r="Z38" s="12" t="s">
        <v>784</v>
      </c>
      <c r="AA38" s="12" t="s">
        <v>946</v>
      </c>
      <c r="AB38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>298228 Verified</v>
      </c>
      <c r="AC38" s="12" t="s">
        <v>784</v>
      </c>
      <c r="AD38" s="12" t="s">
        <v>762</v>
      </c>
      <c r="AE38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38" s="12" t="s">
        <v>762</v>
      </c>
      <c r="AG38" s="12" t="s">
        <v>762</v>
      </c>
      <c r="AH38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38" s="12" t="s">
        <v>762</v>
      </c>
      <c r="AJ38" s="12" t="s">
        <v>762</v>
      </c>
      <c r="AK38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38" s="12" t="s">
        <v>762</v>
      </c>
      <c r="AM38" s="12"/>
      <c r="AN38" s="12"/>
      <c r="AO38" s="12"/>
      <c r="AP38" s="12" t="s">
        <v>379</v>
      </c>
      <c r="AQ38" s="12"/>
      <c r="AR38" s="12"/>
      <c r="AS38" s="12"/>
      <c r="AT38" s="12"/>
      <c r="AU38" s="13">
        <v>43496</v>
      </c>
      <c r="AV38" s="12" t="s">
        <v>792</v>
      </c>
    </row>
    <row r="39" spans="1:48" ht="18" customHeight="1" x14ac:dyDescent="0.3">
      <c r="A39" s="12" t="s">
        <v>479</v>
      </c>
      <c r="B39" s="12" t="str">
        <f>IF(NOT(Flex[Parent WO]=""), HYPERLINK("http://ecow.ninja/maximo.html?p=" &amp;Flex[Parent WO],Flex[Parent WO]),"")</f>
        <v>K696059</v>
      </c>
      <c r="C39" s="12" t="s">
        <v>480</v>
      </c>
      <c r="D39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TK866481</v>
      </c>
      <c r="E39" s="12" t="s">
        <v>481</v>
      </c>
      <c r="F39" s="12" t="s">
        <v>58</v>
      </c>
      <c r="G39" s="13">
        <v>43500</v>
      </c>
      <c r="H39" s="13">
        <v>43501</v>
      </c>
      <c r="I39" s="12" t="s">
        <v>59</v>
      </c>
      <c r="J39" s="13">
        <v>43524</v>
      </c>
      <c r="K39" s="12" t="s">
        <v>379</v>
      </c>
      <c r="L39" s="1" t="s">
        <v>29</v>
      </c>
      <c r="M39" s="12">
        <v>4</v>
      </c>
      <c r="N39" s="12">
        <v>72</v>
      </c>
      <c r="O39" s="12">
        <v>3</v>
      </c>
      <c r="P39" s="14"/>
      <c r="Q39" s="14"/>
      <c r="R39" s="12" t="s">
        <v>30</v>
      </c>
      <c r="S39" s="12" t="s">
        <v>30</v>
      </c>
      <c r="T39" s="12" t="s">
        <v>33</v>
      </c>
      <c r="U39" s="12" t="s">
        <v>968</v>
      </c>
      <c r="V39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293608 Verified</v>
      </c>
      <c r="W39" s="12" t="s">
        <v>785</v>
      </c>
      <c r="X39" s="12" t="s">
        <v>762</v>
      </c>
      <c r="Y39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39" s="12" t="s">
        <v>762</v>
      </c>
      <c r="AA39" s="12" t="s">
        <v>762</v>
      </c>
      <c r="AB39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39" s="12" t="s">
        <v>762</v>
      </c>
      <c r="AD39" s="12" t="s">
        <v>762</v>
      </c>
      <c r="AE39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39" s="12" t="s">
        <v>762</v>
      </c>
      <c r="AG39" s="12" t="s">
        <v>762</v>
      </c>
      <c r="AH39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39" s="12" t="s">
        <v>762</v>
      </c>
      <c r="AJ39" s="12" t="s">
        <v>762</v>
      </c>
      <c r="AK39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39" s="12" t="s">
        <v>762</v>
      </c>
      <c r="AM39" s="12"/>
      <c r="AN39" s="12"/>
      <c r="AO39" s="12"/>
      <c r="AP39" s="12" t="s">
        <v>379</v>
      </c>
      <c r="AQ39" s="12" t="s">
        <v>379</v>
      </c>
      <c r="AR39" s="12"/>
      <c r="AS39" s="12"/>
      <c r="AT39" s="12"/>
      <c r="AU39" s="13">
        <v>43496</v>
      </c>
      <c r="AV39" s="12"/>
    </row>
    <row r="40" spans="1:48" ht="18" customHeight="1" x14ac:dyDescent="0.3">
      <c r="A40" s="12"/>
      <c r="B40" s="12" t="str">
        <f>IF(NOT(Flex[Parent WO]=""), HYPERLINK("http://ecow.ninja/maximo.html?p=" &amp;Flex[Parent WO],Flex[Parent WO]),"")</f>
        <v/>
      </c>
      <c r="C40" s="12" t="s">
        <v>52</v>
      </c>
      <c r="D40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2/7/2019</v>
      </c>
      <c r="E40" s="12"/>
      <c r="F40" s="12"/>
      <c r="G40" s="13"/>
      <c r="H40" s="13"/>
      <c r="I40" s="12"/>
      <c r="J40" s="13"/>
      <c r="K40" s="12"/>
      <c r="M40" s="12"/>
      <c r="N40" s="12"/>
      <c r="O40" s="12"/>
      <c r="P40" s="14"/>
      <c r="Q40" s="14"/>
      <c r="R40" s="12"/>
      <c r="S40" s="12"/>
      <c r="T40" s="12"/>
      <c r="U40" s="12" t="s">
        <v>762</v>
      </c>
      <c r="V40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40" s="12" t="s">
        <v>762</v>
      </c>
      <c r="X40" s="12" t="s">
        <v>762</v>
      </c>
      <c r="Y40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40" s="12" t="s">
        <v>762</v>
      </c>
      <c r="AA40" s="12" t="s">
        <v>762</v>
      </c>
      <c r="AB40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40" s="12" t="s">
        <v>762</v>
      </c>
      <c r="AD40" s="12" t="s">
        <v>762</v>
      </c>
      <c r="AE40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40" s="12" t="s">
        <v>762</v>
      </c>
      <c r="AG40" s="12" t="s">
        <v>762</v>
      </c>
      <c r="AH40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40" s="12" t="s">
        <v>762</v>
      </c>
      <c r="AJ40" s="12" t="s">
        <v>762</v>
      </c>
      <c r="AK40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40" s="12" t="s">
        <v>762</v>
      </c>
      <c r="AM40" s="12"/>
      <c r="AN40" s="12"/>
      <c r="AO40" s="12"/>
      <c r="AP40" s="12"/>
      <c r="AQ40" s="12"/>
      <c r="AR40" s="12"/>
      <c r="AS40" s="12"/>
      <c r="AT40" s="12"/>
      <c r="AU40" s="13">
        <v>43503</v>
      </c>
      <c r="AV40" s="12"/>
    </row>
    <row r="41" spans="1:48" ht="18" customHeight="1" x14ac:dyDescent="0.3">
      <c r="A41" s="12" t="s">
        <v>485</v>
      </c>
      <c r="B41" s="12" t="str">
        <f>IF(NOT(Flex[Parent WO]=""), HYPERLINK("http://ecow.ninja/maximo.html?p=" &amp;Flex[Parent WO],Flex[Parent WO]),"")</f>
        <v>K471300</v>
      </c>
      <c r="C41" s="12" t="s">
        <v>486</v>
      </c>
      <c r="D41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TK653771</v>
      </c>
      <c r="E41" s="12" t="s">
        <v>487</v>
      </c>
      <c r="F41" s="12" t="s">
        <v>488</v>
      </c>
      <c r="G41" s="13">
        <v>43501</v>
      </c>
      <c r="H41" s="13">
        <v>43503</v>
      </c>
      <c r="I41" s="12" t="s">
        <v>57</v>
      </c>
      <c r="J41" s="13">
        <v>43153</v>
      </c>
      <c r="K41" s="12" t="s">
        <v>379</v>
      </c>
      <c r="L41" s="1" t="s">
        <v>29</v>
      </c>
      <c r="M41" s="12">
        <v>4</v>
      </c>
      <c r="N41" s="12">
        <v>120</v>
      </c>
      <c r="O41" s="12">
        <v>1</v>
      </c>
      <c r="P41" s="14"/>
      <c r="Q41" s="14"/>
      <c r="R41" s="12" t="s">
        <v>30</v>
      </c>
      <c r="S41" s="12" t="s">
        <v>30</v>
      </c>
      <c r="T41" s="12" t="s">
        <v>31</v>
      </c>
      <c r="U41" s="12" t="s">
        <v>969</v>
      </c>
      <c r="V41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293342 RTV</v>
      </c>
      <c r="W41" s="12" t="s">
        <v>786</v>
      </c>
      <c r="X41" s="12" t="s">
        <v>970</v>
      </c>
      <c r="Y41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182997 Closed</v>
      </c>
      <c r="Z41" s="12" t="s">
        <v>790</v>
      </c>
      <c r="AA41" s="12" t="s">
        <v>762</v>
      </c>
      <c r="AB41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41" s="12" t="s">
        <v>762</v>
      </c>
      <c r="AD41" s="12" t="s">
        <v>762</v>
      </c>
      <c r="AE41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41" s="12" t="s">
        <v>762</v>
      </c>
      <c r="AG41" s="12" t="s">
        <v>762</v>
      </c>
      <c r="AH41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41" s="12" t="s">
        <v>762</v>
      </c>
      <c r="AJ41" s="12" t="s">
        <v>762</v>
      </c>
      <c r="AK41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41" s="12" t="s">
        <v>762</v>
      </c>
      <c r="AM41" s="12"/>
      <c r="AN41" s="12"/>
      <c r="AO41" s="12" t="s">
        <v>32</v>
      </c>
      <c r="AP41" s="12" t="s">
        <v>379</v>
      </c>
      <c r="AQ41" s="12" t="s">
        <v>379</v>
      </c>
      <c r="AR41" s="12"/>
      <c r="AS41" s="12"/>
      <c r="AT41" s="12"/>
      <c r="AU41" s="13">
        <v>43503</v>
      </c>
      <c r="AV41" s="12" t="s">
        <v>824</v>
      </c>
    </row>
    <row r="42" spans="1:48" ht="18" customHeight="1" x14ac:dyDescent="0.3">
      <c r="A42" s="12" t="s">
        <v>582</v>
      </c>
      <c r="B42" s="12" t="str">
        <f>IF(NOT(Flex[Parent WO]=""), HYPERLINK("http://ecow.ninja/maximo.html?p=" &amp;Flex[Parent WO],Flex[Parent WO]),"")</f>
        <v>K748700</v>
      </c>
      <c r="C42" s="12" t="s">
        <v>583</v>
      </c>
      <c r="D42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TK844754</v>
      </c>
      <c r="E42" s="12" t="s">
        <v>584</v>
      </c>
      <c r="F42" s="12" t="s">
        <v>585</v>
      </c>
      <c r="G42" s="13">
        <v>43502</v>
      </c>
      <c r="H42" s="13">
        <v>43503</v>
      </c>
      <c r="I42" s="12" t="s">
        <v>36</v>
      </c>
      <c r="J42" s="13">
        <v>43378</v>
      </c>
      <c r="K42" s="12" t="s">
        <v>379</v>
      </c>
      <c r="L42" s="1" t="s">
        <v>34</v>
      </c>
      <c r="M42" s="12">
        <v>3</v>
      </c>
      <c r="N42" s="12">
        <v>60</v>
      </c>
      <c r="O42" s="12">
        <v>2</v>
      </c>
      <c r="P42" s="14"/>
      <c r="Q42" s="14"/>
      <c r="R42" s="12" t="s">
        <v>30</v>
      </c>
      <c r="S42" s="12" t="s">
        <v>30</v>
      </c>
      <c r="T42" s="12" t="s">
        <v>33</v>
      </c>
      <c r="U42" s="12" t="s">
        <v>971</v>
      </c>
      <c r="V42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280456 Verified</v>
      </c>
      <c r="W42" s="12" t="s">
        <v>784</v>
      </c>
      <c r="X42" s="12" t="s">
        <v>972</v>
      </c>
      <c r="Y42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300730 Draft</v>
      </c>
      <c r="Z42" s="12" t="s">
        <v>787</v>
      </c>
      <c r="AA42" s="12" t="s">
        <v>762</v>
      </c>
      <c r="AB42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42" s="12" t="s">
        <v>762</v>
      </c>
      <c r="AD42" s="12" t="s">
        <v>762</v>
      </c>
      <c r="AE42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42" s="12" t="s">
        <v>762</v>
      </c>
      <c r="AG42" s="12" t="s">
        <v>762</v>
      </c>
      <c r="AH42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42" s="12" t="s">
        <v>762</v>
      </c>
      <c r="AJ42" s="12" t="s">
        <v>762</v>
      </c>
      <c r="AK42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42" s="12" t="s">
        <v>762</v>
      </c>
      <c r="AM42" s="12"/>
      <c r="AN42" s="12"/>
      <c r="AO42" s="12"/>
      <c r="AP42" s="12" t="s">
        <v>379</v>
      </c>
      <c r="AQ42" s="12"/>
      <c r="AR42" s="12"/>
      <c r="AS42" s="12"/>
      <c r="AT42" s="12"/>
      <c r="AU42" s="13">
        <v>43503</v>
      </c>
      <c r="AV42" s="12"/>
    </row>
    <row r="43" spans="1:48" ht="18" customHeight="1" x14ac:dyDescent="0.3">
      <c r="A43" s="12" t="s">
        <v>380</v>
      </c>
      <c r="B43" s="12" t="str">
        <f>IF(NOT(Flex[Parent WO]=""), HYPERLINK("http://ecow.ninja/maximo.html?p=" &amp;Flex[Parent WO],Flex[Parent WO]),"")</f>
        <v>K241535</v>
      </c>
      <c r="C43" s="12" t="s">
        <v>381</v>
      </c>
      <c r="D43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TK674507</v>
      </c>
      <c r="E43" s="12" t="s">
        <v>382</v>
      </c>
      <c r="F43" s="12" t="s">
        <v>383</v>
      </c>
      <c r="G43" s="13">
        <v>43503</v>
      </c>
      <c r="H43" s="13">
        <v>43503</v>
      </c>
      <c r="I43" s="12" t="s">
        <v>36</v>
      </c>
      <c r="J43" s="13">
        <v>43647</v>
      </c>
      <c r="K43" s="12" t="s">
        <v>379</v>
      </c>
      <c r="L43" s="1" t="s">
        <v>29</v>
      </c>
      <c r="M43" s="12">
        <v>5</v>
      </c>
      <c r="N43" s="12">
        <v>57.5</v>
      </c>
      <c r="O43" s="12">
        <v>3</v>
      </c>
      <c r="P43" s="14"/>
      <c r="Q43" s="14"/>
      <c r="R43" s="12" t="s">
        <v>30</v>
      </c>
      <c r="S43" s="12" t="s">
        <v>42</v>
      </c>
      <c r="T43" s="12" t="s">
        <v>31</v>
      </c>
      <c r="U43" s="12" t="s">
        <v>973</v>
      </c>
      <c r="V43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106857 Verified</v>
      </c>
      <c r="W43" s="12" t="s">
        <v>784</v>
      </c>
      <c r="X43" s="12" t="s">
        <v>762</v>
      </c>
      <c r="Y43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43" s="12" t="s">
        <v>762</v>
      </c>
      <c r="AA43" s="12" t="s">
        <v>762</v>
      </c>
      <c r="AB43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43" s="12" t="s">
        <v>762</v>
      </c>
      <c r="AD43" s="12" t="s">
        <v>762</v>
      </c>
      <c r="AE43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43" s="12" t="s">
        <v>762</v>
      </c>
      <c r="AG43" s="12" t="s">
        <v>762</v>
      </c>
      <c r="AH43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43" s="12" t="s">
        <v>762</v>
      </c>
      <c r="AJ43" s="12" t="s">
        <v>762</v>
      </c>
      <c r="AK43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43" s="12" t="s">
        <v>762</v>
      </c>
      <c r="AM43" s="12" t="s">
        <v>772</v>
      </c>
      <c r="AN43" s="12" t="s">
        <v>45</v>
      </c>
      <c r="AO43" s="12" t="s">
        <v>32</v>
      </c>
      <c r="AP43" s="12" t="s">
        <v>379</v>
      </c>
      <c r="AQ43" s="12" t="s">
        <v>379</v>
      </c>
      <c r="AR43" s="12"/>
      <c r="AS43" s="12"/>
      <c r="AT43" s="12"/>
      <c r="AU43" s="13">
        <v>43503</v>
      </c>
      <c r="AV43" s="12"/>
    </row>
    <row r="44" spans="1:48" ht="18" customHeight="1" x14ac:dyDescent="0.3">
      <c r="A44" s="12" t="s">
        <v>489</v>
      </c>
      <c r="B44" s="12" t="str">
        <f>IF(NOT(Flex[Parent WO]=""), HYPERLINK("http://ecow.ninja/maximo.html?p=" &amp;Flex[Parent WO],Flex[Parent WO]),"")</f>
        <v>K777182</v>
      </c>
      <c r="C44" s="12" t="s">
        <v>490</v>
      </c>
      <c r="D44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TK866484</v>
      </c>
      <c r="E44" s="12" t="s">
        <v>491</v>
      </c>
      <c r="F44" s="12" t="s">
        <v>58</v>
      </c>
      <c r="G44" s="13">
        <v>43504</v>
      </c>
      <c r="H44" s="13">
        <v>43505</v>
      </c>
      <c r="I44" s="12" t="s">
        <v>59</v>
      </c>
      <c r="J44" s="13">
        <v>43524</v>
      </c>
      <c r="K44" s="12" t="s">
        <v>379</v>
      </c>
      <c r="L44" s="1" t="s">
        <v>34</v>
      </c>
      <c r="M44" s="12">
        <v>4</v>
      </c>
      <c r="N44" s="12">
        <v>72</v>
      </c>
      <c r="O44" s="12">
        <v>3</v>
      </c>
      <c r="P44" s="14"/>
      <c r="Q44" s="14"/>
      <c r="R44" s="12" t="s">
        <v>30</v>
      </c>
      <c r="S44" s="12" t="s">
        <v>30</v>
      </c>
      <c r="T44" s="12" t="s">
        <v>33</v>
      </c>
      <c r="U44" s="12" t="s">
        <v>960</v>
      </c>
      <c r="V44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300518 Draft</v>
      </c>
      <c r="W44" s="12" t="s">
        <v>788</v>
      </c>
      <c r="X44" s="12" t="s">
        <v>762</v>
      </c>
      <c r="Y44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44" s="12" t="s">
        <v>762</v>
      </c>
      <c r="AA44" s="12" t="s">
        <v>762</v>
      </c>
      <c r="AB44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44" s="12" t="s">
        <v>762</v>
      </c>
      <c r="AD44" s="12" t="s">
        <v>762</v>
      </c>
      <c r="AE44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44" s="12" t="s">
        <v>762</v>
      </c>
      <c r="AG44" s="12" t="s">
        <v>762</v>
      </c>
      <c r="AH44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44" s="12" t="s">
        <v>762</v>
      </c>
      <c r="AJ44" s="12" t="s">
        <v>762</v>
      </c>
      <c r="AK44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44" s="12" t="s">
        <v>762</v>
      </c>
      <c r="AM44" s="12"/>
      <c r="AN44" s="12"/>
      <c r="AO44" s="12"/>
      <c r="AP44" s="12" t="s">
        <v>379</v>
      </c>
      <c r="AQ44" s="12" t="s">
        <v>379</v>
      </c>
      <c r="AR44" s="12"/>
      <c r="AS44" s="12"/>
      <c r="AT44" s="12"/>
      <c r="AU44" s="13">
        <v>43503</v>
      </c>
      <c r="AV44" s="12" t="s">
        <v>826</v>
      </c>
    </row>
    <row r="45" spans="1:48" ht="18" customHeight="1" x14ac:dyDescent="0.3">
      <c r="A45" s="12" t="s">
        <v>384</v>
      </c>
      <c r="B45" s="12" t="str">
        <f>IF(NOT(Flex[Parent WO]=""), HYPERLINK("http://ecow.ninja/maximo.html?p=" &amp;Flex[Parent WO],Flex[Parent WO]),"")</f>
        <v>K594956</v>
      </c>
      <c r="C45" s="12" t="s">
        <v>385</v>
      </c>
      <c r="D45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TK710217</v>
      </c>
      <c r="E45" s="12" t="s">
        <v>386</v>
      </c>
      <c r="F45" s="12" t="s">
        <v>387</v>
      </c>
      <c r="G45" s="13">
        <v>43506</v>
      </c>
      <c r="H45" s="13">
        <v>43506</v>
      </c>
      <c r="I45" s="12"/>
      <c r="J45" s="13">
        <v>43524</v>
      </c>
      <c r="K45" s="12" t="s">
        <v>379</v>
      </c>
      <c r="L45" s="1" t="s">
        <v>34</v>
      </c>
      <c r="M45" s="12">
        <v>4</v>
      </c>
      <c r="N45" s="12">
        <v>46</v>
      </c>
      <c r="O45" s="12">
        <v>3</v>
      </c>
      <c r="P45" s="14"/>
      <c r="Q45" s="14"/>
      <c r="R45" s="12" t="s">
        <v>30</v>
      </c>
      <c r="S45" s="12" t="s">
        <v>30</v>
      </c>
      <c r="T45" s="12" t="s">
        <v>31</v>
      </c>
      <c r="U45" s="12" t="s">
        <v>974</v>
      </c>
      <c r="V45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147917 Verified</v>
      </c>
      <c r="W45" s="12" t="s">
        <v>784</v>
      </c>
      <c r="X45" s="12" t="s">
        <v>762</v>
      </c>
      <c r="Y45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45" s="12" t="s">
        <v>762</v>
      </c>
      <c r="AA45" s="12" t="s">
        <v>762</v>
      </c>
      <c r="AB45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45" s="12" t="s">
        <v>762</v>
      </c>
      <c r="AD45" s="12" t="s">
        <v>762</v>
      </c>
      <c r="AE45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45" s="12" t="s">
        <v>762</v>
      </c>
      <c r="AG45" s="12" t="s">
        <v>762</v>
      </c>
      <c r="AH45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45" s="12" t="s">
        <v>762</v>
      </c>
      <c r="AJ45" s="12" t="s">
        <v>762</v>
      </c>
      <c r="AK45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45" s="12" t="s">
        <v>762</v>
      </c>
      <c r="AM45" s="12" t="s">
        <v>773</v>
      </c>
      <c r="AN45" s="12" t="s">
        <v>774</v>
      </c>
      <c r="AO45" s="12"/>
      <c r="AP45" s="12" t="s">
        <v>379</v>
      </c>
      <c r="AQ45" s="12" t="s">
        <v>379</v>
      </c>
      <c r="AR45" s="12"/>
      <c r="AS45" s="12"/>
      <c r="AT45" s="12"/>
      <c r="AU45" s="13">
        <v>43503</v>
      </c>
      <c r="AV45" s="12"/>
    </row>
    <row r="46" spans="1:48" ht="18" customHeight="1" x14ac:dyDescent="0.3">
      <c r="A46" s="12" t="s">
        <v>492</v>
      </c>
      <c r="B46" s="12" t="str">
        <f>IF(NOT(Flex[Parent WO]=""), HYPERLINK("http://ecow.ninja/maximo.html?p=" &amp;Flex[Parent WO],Flex[Parent WO]),"")</f>
        <v>K670791</v>
      </c>
      <c r="C46" s="12" t="s">
        <v>493</v>
      </c>
      <c r="D46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TK776941</v>
      </c>
      <c r="E46" s="12" t="s">
        <v>494</v>
      </c>
      <c r="F46" s="12" t="s">
        <v>495</v>
      </c>
      <c r="G46" s="13">
        <v>43506</v>
      </c>
      <c r="H46" s="13">
        <v>43508</v>
      </c>
      <c r="I46" s="12" t="s">
        <v>496</v>
      </c>
      <c r="J46" s="13">
        <v>43555</v>
      </c>
      <c r="K46" s="12" t="s">
        <v>379</v>
      </c>
      <c r="L46" s="1" t="s">
        <v>29</v>
      </c>
      <c r="M46" s="12">
        <v>3</v>
      </c>
      <c r="N46" s="12">
        <v>90</v>
      </c>
      <c r="O46" s="12">
        <v>3</v>
      </c>
      <c r="P46" s="14"/>
      <c r="Q46" s="14"/>
      <c r="R46" s="12" t="s">
        <v>42</v>
      </c>
      <c r="S46" s="12" t="s">
        <v>42</v>
      </c>
      <c r="T46" s="12" t="s">
        <v>33</v>
      </c>
      <c r="U46" s="12" t="s">
        <v>975</v>
      </c>
      <c r="V46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295817 Draft</v>
      </c>
      <c r="W46" s="12" t="s">
        <v>787</v>
      </c>
      <c r="X46" s="12" t="s">
        <v>976</v>
      </c>
      <c r="Y46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300820 TRA</v>
      </c>
      <c r="Z46" s="12" t="s">
        <v>781</v>
      </c>
      <c r="AA46" s="12" t="s">
        <v>762</v>
      </c>
      <c r="AB46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46" s="12" t="s">
        <v>762</v>
      </c>
      <c r="AD46" s="12" t="s">
        <v>762</v>
      </c>
      <c r="AE46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46" s="12" t="s">
        <v>762</v>
      </c>
      <c r="AG46" s="12" t="s">
        <v>762</v>
      </c>
      <c r="AH46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46" s="12" t="s">
        <v>762</v>
      </c>
      <c r="AJ46" s="12" t="s">
        <v>762</v>
      </c>
      <c r="AK46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46" s="12" t="s">
        <v>762</v>
      </c>
      <c r="AM46" s="12" t="s">
        <v>855</v>
      </c>
      <c r="AN46" s="12" t="s">
        <v>67</v>
      </c>
      <c r="AO46" s="12"/>
      <c r="AP46" s="12" t="s">
        <v>379</v>
      </c>
      <c r="AQ46" s="12"/>
      <c r="AR46" s="12"/>
      <c r="AS46" s="12"/>
      <c r="AT46" s="12"/>
      <c r="AU46" s="13">
        <v>43503</v>
      </c>
      <c r="AV46" s="12" t="s">
        <v>853</v>
      </c>
    </row>
    <row r="47" spans="1:48" ht="18" customHeight="1" x14ac:dyDescent="0.3">
      <c r="A47" s="12" t="s">
        <v>856</v>
      </c>
      <c r="B47" s="12" t="str">
        <f>IF(NOT(Flex[Parent WO]=""), HYPERLINK("http://ecow.ninja/maximo.html?p=" &amp;Flex[Parent WO],Flex[Parent WO]),"")</f>
        <v>K781527</v>
      </c>
      <c r="C47" s="12" t="s">
        <v>857</v>
      </c>
      <c r="D47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TK873881</v>
      </c>
      <c r="E47" s="12" t="s">
        <v>858</v>
      </c>
      <c r="F47" s="12" t="s">
        <v>598</v>
      </c>
      <c r="G47" s="13">
        <v>43507</v>
      </c>
      <c r="H47" s="13">
        <v>43507</v>
      </c>
      <c r="I47" s="12"/>
      <c r="J47" s="13">
        <v>43585</v>
      </c>
      <c r="K47" s="12" t="s">
        <v>379</v>
      </c>
      <c r="L47" s="1" t="s">
        <v>34</v>
      </c>
      <c r="M47" s="12">
        <v>3</v>
      </c>
      <c r="N47" s="12">
        <v>30</v>
      </c>
      <c r="O47" s="12">
        <v>3</v>
      </c>
      <c r="P47" s="14"/>
      <c r="Q47" s="14"/>
      <c r="R47" s="12" t="s">
        <v>30</v>
      </c>
      <c r="S47" s="12" t="s">
        <v>30</v>
      </c>
      <c r="T47" s="12" t="s">
        <v>33</v>
      </c>
      <c r="U47" s="12" t="s">
        <v>762</v>
      </c>
      <c r="V47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47" s="12" t="s">
        <v>762</v>
      </c>
      <c r="X47" s="12" t="s">
        <v>762</v>
      </c>
      <c r="Y47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47" s="12" t="s">
        <v>762</v>
      </c>
      <c r="AA47" s="12" t="s">
        <v>762</v>
      </c>
      <c r="AB47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47" s="12" t="s">
        <v>762</v>
      </c>
      <c r="AD47" s="12" t="s">
        <v>762</v>
      </c>
      <c r="AE47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47" s="12" t="s">
        <v>762</v>
      </c>
      <c r="AG47" s="12" t="s">
        <v>762</v>
      </c>
      <c r="AH47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47" s="12" t="s">
        <v>762</v>
      </c>
      <c r="AJ47" s="12" t="s">
        <v>762</v>
      </c>
      <c r="AK47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47" s="12" t="s">
        <v>762</v>
      </c>
      <c r="AM47" s="12"/>
      <c r="AN47" s="12"/>
      <c r="AO47" s="12"/>
      <c r="AP47" s="12" t="s">
        <v>379</v>
      </c>
      <c r="AQ47" s="12"/>
      <c r="AR47" s="12"/>
      <c r="AS47" s="12"/>
      <c r="AT47" s="12"/>
      <c r="AU47" s="13">
        <v>43503</v>
      </c>
      <c r="AV47" s="12" t="s">
        <v>1074</v>
      </c>
    </row>
    <row r="48" spans="1:48" ht="18" customHeight="1" x14ac:dyDescent="0.3">
      <c r="A48" s="12"/>
      <c r="B48" s="12" t="str">
        <f>IF(NOT(Flex[Parent WO]=""), HYPERLINK("http://ecow.ninja/maximo.html?p=" &amp;Flex[Parent WO],Flex[Parent WO]),"")</f>
        <v/>
      </c>
      <c r="C48" s="12" t="s">
        <v>55</v>
      </c>
      <c r="D48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2/14/2019</v>
      </c>
      <c r="E48" s="12"/>
      <c r="F48" s="12"/>
      <c r="G48" s="13"/>
      <c r="H48" s="13"/>
      <c r="I48" s="12"/>
      <c r="J48" s="13"/>
      <c r="K48" s="12"/>
      <c r="M48" s="12"/>
      <c r="N48" s="12"/>
      <c r="O48" s="12"/>
      <c r="P48" s="14"/>
      <c r="Q48" s="14"/>
      <c r="R48" s="12"/>
      <c r="S48" s="12"/>
      <c r="T48" s="12"/>
      <c r="U48" s="12" t="s">
        <v>762</v>
      </c>
      <c r="V48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48" s="12" t="s">
        <v>762</v>
      </c>
      <c r="X48" s="12" t="s">
        <v>762</v>
      </c>
      <c r="Y48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48" s="12" t="s">
        <v>762</v>
      </c>
      <c r="AA48" s="12" t="s">
        <v>762</v>
      </c>
      <c r="AB48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48" s="12" t="s">
        <v>762</v>
      </c>
      <c r="AD48" s="12" t="s">
        <v>762</v>
      </c>
      <c r="AE48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48" s="12" t="s">
        <v>762</v>
      </c>
      <c r="AG48" s="12" t="s">
        <v>762</v>
      </c>
      <c r="AH48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48" s="12" t="s">
        <v>762</v>
      </c>
      <c r="AJ48" s="12" t="s">
        <v>762</v>
      </c>
      <c r="AK48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48" s="12" t="s">
        <v>762</v>
      </c>
      <c r="AM48" s="12"/>
      <c r="AN48" s="12"/>
      <c r="AO48" s="12"/>
      <c r="AP48" s="12"/>
      <c r="AQ48" s="12"/>
      <c r="AR48" s="12"/>
      <c r="AS48" s="12"/>
      <c r="AT48" s="12"/>
      <c r="AU48" s="13">
        <v>43510</v>
      </c>
      <c r="AV48" s="12"/>
    </row>
    <row r="49" spans="1:48" ht="18" customHeight="1" x14ac:dyDescent="0.3">
      <c r="A49" s="12" t="s">
        <v>497</v>
      </c>
      <c r="B49" s="12" t="str">
        <f>IF(NOT(Flex[Parent WO]=""), HYPERLINK("http://ecow.ninja/maximo.html?p=" &amp;Flex[Parent WO],Flex[Parent WO]),"")</f>
        <v>K569313</v>
      </c>
      <c r="C49" s="12" t="s">
        <v>498</v>
      </c>
      <c r="D49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TK800242</v>
      </c>
      <c r="E49" s="12" t="s">
        <v>499</v>
      </c>
      <c r="F49" s="12" t="s">
        <v>500</v>
      </c>
      <c r="G49" s="13">
        <v>43509</v>
      </c>
      <c r="H49" s="13">
        <v>43511</v>
      </c>
      <c r="I49" s="12"/>
      <c r="J49" s="13">
        <v>43539</v>
      </c>
      <c r="K49" s="12" t="s">
        <v>379</v>
      </c>
      <c r="L49" s="1" t="s">
        <v>34</v>
      </c>
      <c r="M49" s="12">
        <v>3</v>
      </c>
      <c r="N49" s="12">
        <v>103.5</v>
      </c>
      <c r="O49" s="12">
        <v>1</v>
      </c>
      <c r="P49" s="14"/>
      <c r="Q49" s="14"/>
      <c r="R49" s="12" t="s">
        <v>30</v>
      </c>
      <c r="S49" s="12" t="s">
        <v>30</v>
      </c>
      <c r="T49" s="12" t="s">
        <v>31</v>
      </c>
      <c r="U49" s="12" t="s">
        <v>977</v>
      </c>
      <c r="V49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254042 Verified</v>
      </c>
      <c r="W49" s="12" t="s">
        <v>784</v>
      </c>
      <c r="X49" s="12" t="s">
        <v>762</v>
      </c>
      <c r="Y49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49" s="12" t="s">
        <v>762</v>
      </c>
      <c r="AA49" s="12" t="s">
        <v>762</v>
      </c>
      <c r="AB49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49" s="12" t="s">
        <v>762</v>
      </c>
      <c r="AD49" s="12" t="s">
        <v>762</v>
      </c>
      <c r="AE49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49" s="12" t="s">
        <v>762</v>
      </c>
      <c r="AG49" s="12" t="s">
        <v>762</v>
      </c>
      <c r="AH49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49" s="12" t="s">
        <v>762</v>
      </c>
      <c r="AJ49" s="12" t="s">
        <v>762</v>
      </c>
      <c r="AK49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49" s="12" t="s">
        <v>762</v>
      </c>
      <c r="AM49" s="12"/>
      <c r="AN49" s="12"/>
      <c r="AO49" s="12"/>
      <c r="AP49" s="12" t="s">
        <v>379</v>
      </c>
      <c r="AQ49" s="12"/>
      <c r="AR49" s="12"/>
      <c r="AS49" s="12"/>
      <c r="AT49" s="12"/>
      <c r="AU49" s="13">
        <v>43510</v>
      </c>
      <c r="AV49" s="12"/>
    </row>
    <row r="50" spans="1:48" ht="18" customHeight="1" x14ac:dyDescent="0.3">
      <c r="A50" s="12" t="s">
        <v>396</v>
      </c>
      <c r="B50" s="12" t="str">
        <f>IF(NOT(Flex[Parent WO]=""), HYPERLINK("http://ecow.ninja/maximo.html?p=" &amp;Flex[Parent WO],Flex[Parent WO]),"")</f>
        <v>K686578</v>
      </c>
      <c r="C50" s="12" t="s">
        <v>397</v>
      </c>
      <c r="D50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TK797119</v>
      </c>
      <c r="E50" s="12" t="s">
        <v>589</v>
      </c>
      <c r="F50" s="12" t="s">
        <v>51</v>
      </c>
      <c r="G50" s="13">
        <v>43510</v>
      </c>
      <c r="H50" s="13">
        <v>43510</v>
      </c>
      <c r="I50" s="12"/>
      <c r="J50" s="13">
        <v>43524</v>
      </c>
      <c r="K50" s="12" t="s">
        <v>379</v>
      </c>
      <c r="L50" s="1" t="s">
        <v>29</v>
      </c>
      <c r="M50" s="12">
        <v>3</v>
      </c>
      <c r="N50" s="12">
        <v>34.5</v>
      </c>
      <c r="O50" s="12">
        <v>2</v>
      </c>
      <c r="P50" s="14"/>
      <c r="Q50" s="14"/>
      <c r="R50" s="12" t="s">
        <v>30</v>
      </c>
      <c r="S50" s="12" t="s">
        <v>30</v>
      </c>
      <c r="T50" s="12" t="s">
        <v>33</v>
      </c>
      <c r="U50" s="12" t="s">
        <v>978</v>
      </c>
      <c r="V50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293092 RTV</v>
      </c>
      <c r="W50" s="12" t="s">
        <v>786</v>
      </c>
      <c r="X50" s="12" t="s">
        <v>762</v>
      </c>
      <c r="Y50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50" s="12" t="s">
        <v>762</v>
      </c>
      <c r="AA50" s="12" t="s">
        <v>762</v>
      </c>
      <c r="AB50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50" s="12" t="s">
        <v>762</v>
      </c>
      <c r="AD50" s="12" t="s">
        <v>762</v>
      </c>
      <c r="AE50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50" s="12" t="s">
        <v>762</v>
      </c>
      <c r="AG50" s="12" t="s">
        <v>762</v>
      </c>
      <c r="AH50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50" s="12" t="s">
        <v>762</v>
      </c>
      <c r="AJ50" s="12" t="s">
        <v>762</v>
      </c>
      <c r="AK50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50" s="12" t="s">
        <v>762</v>
      </c>
      <c r="AM50" s="12"/>
      <c r="AN50" s="12"/>
      <c r="AO50" s="12"/>
      <c r="AP50" s="12" t="s">
        <v>379</v>
      </c>
      <c r="AQ50" s="12"/>
      <c r="AR50" s="12"/>
      <c r="AS50" s="12"/>
      <c r="AT50" s="12"/>
      <c r="AU50" s="13">
        <v>43510</v>
      </c>
      <c r="AV50" s="12"/>
    </row>
    <row r="51" spans="1:48" s="6" customFormat="1" ht="18" customHeight="1" x14ac:dyDescent="0.3">
      <c r="A51" s="17" t="s">
        <v>595</v>
      </c>
      <c r="B51" s="17" t="str">
        <f>IF(NOT(Flex[Parent WO]=""), HYPERLINK("http://ecow.ninja/maximo.html?p=" &amp;Flex[Parent WO],Flex[Parent WO]),"")</f>
        <v>K769173</v>
      </c>
      <c r="C51" s="17" t="s">
        <v>596</v>
      </c>
      <c r="D51" s="17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TK870140</v>
      </c>
      <c r="E51" s="17" t="s">
        <v>597</v>
      </c>
      <c r="F51" s="17" t="s">
        <v>598</v>
      </c>
      <c r="G51" s="18">
        <v>43511</v>
      </c>
      <c r="H51" s="18">
        <v>43511</v>
      </c>
      <c r="I51" s="17"/>
      <c r="J51" s="18">
        <v>43585</v>
      </c>
      <c r="K51" s="17" t="s">
        <v>379</v>
      </c>
      <c r="L51" s="6" t="s">
        <v>29</v>
      </c>
      <c r="M51" s="17">
        <v>3</v>
      </c>
      <c r="N51" s="17">
        <v>30</v>
      </c>
      <c r="O51" s="17">
        <v>3</v>
      </c>
      <c r="P51" s="19"/>
      <c r="Q51" s="19"/>
      <c r="R51" s="17" t="s">
        <v>30</v>
      </c>
      <c r="S51" s="17" t="s">
        <v>30</v>
      </c>
      <c r="T51" s="17" t="s">
        <v>33</v>
      </c>
      <c r="U51" s="17" t="s">
        <v>762</v>
      </c>
      <c r="V51" s="17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51" s="17" t="s">
        <v>762</v>
      </c>
      <c r="X51" s="17" t="s">
        <v>762</v>
      </c>
      <c r="Y51" s="20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51" s="17" t="s">
        <v>762</v>
      </c>
      <c r="AA51" s="17" t="s">
        <v>762</v>
      </c>
      <c r="AB51" s="17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51" s="17" t="s">
        <v>762</v>
      </c>
      <c r="AD51" s="17" t="s">
        <v>762</v>
      </c>
      <c r="AE51" s="17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51" s="17" t="s">
        <v>762</v>
      </c>
      <c r="AG51" s="17" t="s">
        <v>762</v>
      </c>
      <c r="AH51" s="17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51" s="17" t="s">
        <v>762</v>
      </c>
      <c r="AJ51" s="17" t="s">
        <v>762</v>
      </c>
      <c r="AK51" s="17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51" s="17" t="s">
        <v>762</v>
      </c>
      <c r="AM51" s="17"/>
      <c r="AN51" s="17"/>
      <c r="AO51" s="17" t="s">
        <v>599</v>
      </c>
      <c r="AP51" s="17" t="s">
        <v>379</v>
      </c>
      <c r="AQ51" s="17"/>
      <c r="AR51" s="17"/>
      <c r="AS51" s="17"/>
      <c r="AT51" s="17"/>
      <c r="AU51" s="18">
        <v>43510</v>
      </c>
      <c r="AV51" s="17" t="s">
        <v>1075</v>
      </c>
    </row>
    <row r="52" spans="1:48" ht="18" customHeight="1" x14ac:dyDescent="0.3">
      <c r="A52" s="12" t="s">
        <v>501</v>
      </c>
      <c r="B52" s="12" t="str">
        <f>IF(NOT(Flex[Parent WO]=""), HYPERLINK("http://ecow.ninja/maximo.html?p=" &amp;Flex[Parent WO],Flex[Parent WO]),"")</f>
        <v>K413138</v>
      </c>
      <c r="C52" s="12" t="s">
        <v>502</v>
      </c>
      <c r="D52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TK777575</v>
      </c>
      <c r="E52" s="12" t="s">
        <v>503</v>
      </c>
      <c r="F52" s="12" t="s">
        <v>504</v>
      </c>
      <c r="G52" s="13">
        <v>43512</v>
      </c>
      <c r="H52" s="13">
        <v>43515</v>
      </c>
      <c r="I52" s="12"/>
      <c r="J52" s="13">
        <v>43586</v>
      </c>
      <c r="K52" s="12" t="s">
        <v>379</v>
      </c>
      <c r="L52" s="1" t="s">
        <v>29</v>
      </c>
      <c r="M52" s="12">
        <v>3</v>
      </c>
      <c r="N52" s="12">
        <v>138</v>
      </c>
      <c r="O52" s="12">
        <v>2</v>
      </c>
      <c r="P52" s="14"/>
      <c r="Q52" s="14"/>
      <c r="R52" s="12" t="s">
        <v>42</v>
      </c>
      <c r="S52" s="12" t="s">
        <v>30</v>
      </c>
      <c r="T52" s="12" t="s">
        <v>31</v>
      </c>
      <c r="U52" s="12" t="s">
        <v>979</v>
      </c>
      <c r="V52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221876 Verified</v>
      </c>
      <c r="W52" s="12" t="s">
        <v>784</v>
      </c>
      <c r="X52" s="12" t="s">
        <v>980</v>
      </c>
      <c r="Y52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221884 Verified</v>
      </c>
      <c r="Z52" s="12" t="s">
        <v>784</v>
      </c>
      <c r="AA52" s="12" t="s">
        <v>762</v>
      </c>
      <c r="AB52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52" s="12" t="s">
        <v>762</v>
      </c>
      <c r="AD52" s="12" t="s">
        <v>762</v>
      </c>
      <c r="AE52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52" s="12" t="s">
        <v>762</v>
      </c>
      <c r="AG52" s="12" t="s">
        <v>762</v>
      </c>
      <c r="AH52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52" s="12" t="s">
        <v>762</v>
      </c>
      <c r="AJ52" s="12" t="s">
        <v>762</v>
      </c>
      <c r="AK52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52" s="12" t="s">
        <v>762</v>
      </c>
      <c r="AM52" s="12"/>
      <c r="AN52" s="12"/>
      <c r="AO52" s="12"/>
      <c r="AP52" s="12" t="s">
        <v>379</v>
      </c>
      <c r="AQ52" s="12"/>
      <c r="AR52" s="12"/>
      <c r="AS52" s="12"/>
      <c r="AT52" s="12"/>
      <c r="AU52" s="13">
        <v>43510</v>
      </c>
      <c r="AV52" s="12"/>
    </row>
    <row r="53" spans="1:48" ht="18" customHeight="1" x14ac:dyDescent="0.3">
      <c r="A53" s="12" t="s">
        <v>398</v>
      </c>
      <c r="B53" s="12" t="str">
        <f>IF(NOT(Flex[Parent WO]=""), HYPERLINK("http://ecow.ninja/maximo.html?p=" &amp;Flex[Parent WO],Flex[Parent WO]),"")</f>
        <v>K606415</v>
      </c>
      <c r="C53" s="12" t="s">
        <v>399</v>
      </c>
      <c r="D53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TK827438</v>
      </c>
      <c r="E53" s="12" t="s">
        <v>400</v>
      </c>
      <c r="F53" s="12" t="s">
        <v>401</v>
      </c>
      <c r="G53" s="13">
        <v>43512</v>
      </c>
      <c r="H53" s="13">
        <v>43514</v>
      </c>
      <c r="I53" s="12"/>
      <c r="J53" s="13">
        <v>43524</v>
      </c>
      <c r="K53" s="12" t="s">
        <v>379</v>
      </c>
      <c r="L53" s="1" t="s">
        <v>29</v>
      </c>
      <c r="M53" s="12">
        <v>3</v>
      </c>
      <c r="N53" s="12">
        <v>90</v>
      </c>
      <c r="O53" s="12">
        <v>3</v>
      </c>
      <c r="P53" s="14"/>
      <c r="Q53" s="14"/>
      <c r="R53" s="12" t="s">
        <v>30</v>
      </c>
      <c r="S53" s="12" t="s">
        <v>30</v>
      </c>
      <c r="T53" s="12" t="s">
        <v>33</v>
      </c>
      <c r="U53" s="12" t="s">
        <v>981</v>
      </c>
      <c r="V53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300583 Draft</v>
      </c>
      <c r="W53" s="12" t="s">
        <v>788</v>
      </c>
      <c r="X53" s="12" t="s">
        <v>762</v>
      </c>
      <c r="Y53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53" s="12" t="s">
        <v>762</v>
      </c>
      <c r="AA53" s="12" t="s">
        <v>762</v>
      </c>
      <c r="AB53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53" s="12" t="s">
        <v>762</v>
      </c>
      <c r="AD53" s="12" t="s">
        <v>762</v>
      </c>
      <c r="AE53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53" s="12" t="s">
        <v>762</v>
      </c>
      <c r="AG53" s="12" t="s">
        <v>762</v>
      </c>
      <c r="AH53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53" s="12" t="s">
        <v>762</v>
      </c>
      <c r="AJ53" s="12" t="s">
        <v>762</v>
      </c>
      <c r="AK53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53" s="12" t="s">
        <v>762</v>
      </c>
      <c r="AM53" s="12"/>
      <c r="AN53" s="12"/>
      <c r="AO53" s="12" t="s">
        <v>41</v>
      </c>
      <c r="AP53" s="12" t="s">
        <v>379</v>
      </c>
      <c r="AQ53" s="12"/>
      <c r="AR53" s="12"/>
      <c r="AS53" s="12"/>
      <c r="AT53" s="12"/>
      <c r="AU53" s="13">
        <v>43510</v>
      </c>
      <c r="AV53" s="12" t="s">
        <v>827</v>
      </c>
    </row>
    <row r="54" spans="1:48" ht="18" customHeight="1" x14ac:dyDescent="0.3">
      <c r="A54" s="12" t="s">
        <v>590</v>
      </c>
      <c r="B54" s="12" t="str">
        <f>IF(NOT(Flex[Parent WO]=""), HYPERLINK("http://ecow.ninja/maximo.html?p=" &amp;Flex[Parent WO],Flex[Parent WO]),"")</f>
        <v>K778415</v>
      </c>
      <c r="C54" s="12" t="s">
        <v>591</v>
      </c>
      <c r="D54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TK867522</v>
      </c>
      <c r="E54" s="12" t="s">
        <v>592</v>
      </c>
      <c r="F54" s="12" t="s">
        <v>593</v>
      </c>
      <c r="G54" s="13">
        <v>43513</v>
      </c>
      <c r="H54" s="13">
        <v>43514</v>
      </c>
      <c r="I54" s="12" t="s">
        <v>594</v>
      </c>
      <c r="J54" s="13">
        <v>43830</v>
      </c>
      <c r="K54" s="12" t="s">
        <v>379</v>
      </c>
      <c r="L54" s="1" t="s">
        <v>34</v>
      </c>
      <c r="M54" s="12">
        <v>3</v>
      </c>
      <c r="N54" s="12">
        <v>48</v>
      </c>
      <c r="O54" s="12">
        <v>2</v>
      </c>
      <c r="P54" s="14"/>
      <c r="Q54" s="14"/>
      <c r="R54" s="12" t="s">
        <v>30</v>
      </c>
      <c r="S54" s="12" t="s">
        <v>30</v>
      </c>
      <c r="T54" s="12" t="s">
        <v>33</v>
      </c>
      <c r="U54" s="12" t="s">
        <v>982</v>
      </c>
      <c r="V54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300621 Draft</v>
      </c>
      <c r="W54" s="12" t="s">
        <v>788</v>
      </c>
      <c r="X54" s="12" t="s">
        <v>762</v>
      </c>
      <c r="Y54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54" s="12" t="s">
        <v>762</v>
      </c>
      <c r="AA54" s="12" t="s">
        <v>762</v>
      </c>
      <c r="AB54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54" s="12" t="s">
        <v>762</v>
      </c>
      <c r="AD54" s="12" t="s">
        <v>762</v>
      </c>
      <c r="AE54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54" s="12" t="s">
        <v>762</v>
      </c>
      <c r="AG54" s="12" t="s">
        <v>762</v>
      </c>
      <c r="AH54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54" s="12" t="s">
        <v>762</v>
      </c>
      <c r="AJ54" s="12" t="s">
        <v>762</v>
      </c>
      <c r="AK54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54" s="12" t="s">
        <v>762</v>
      </c>
      <c r="AM54" s="12"/>
      <c r="AN54" s="12"/>
      <c r="AO54" s="12"/>
      <c r="AP54" s="12" t="s">
        <v>379</v>
      </c>
      <c r="AQ54" s="12" t="s">
        <v>379</v>
      </c>
      <c r="AR54" s="12"/>
      <c r="AS54" s="12"/>
      <c r="AT54" s="12"/>
      <c r="AU54" s="13">
        <v>43510</v>
      </c>
      <c r="AV54" s="12" t="s">
        <v>828</v>
      </c>
    </row>
    <row r="55" spans="1:48" ht="18" customHeight="1" x14ac:dyDescent="0.3">
      <c r="A55" s="12"/>
      <c r="B55" s="12" t="str">
        <f>IF(NOT(Flex[Parent WO]=""), HYPERLINK("http://ecow.ninja/maximo.html?p=" &amp;Flex[Parent WO],Flex[Parent WO]),"")</f>
        <v/>
      </c>
      <c r="C55" s="12" t="s">
        <v>60</v>
      </c>
      <c r="D55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2/21/2019</v>
      </c>
      <c r="E55" s="12"/>
      <c r="F55" s="12"/>
      <c r="G55" s="13"/>
      <c r="H55" s="13"/>
      <c r="I55" s="12"/>
      <c r="J55" s="13"/>
      <c r="K55" s="12"/>
      <c r="M55" s="12"/>
      <c r="N55" s="12"/>
      <c r="O55" s="12"/>
      <c r="P55" s="14"/>
      <c r="Q55" s="14"/>
      <c r="R55" s="12"/>
      <c r="S55" s="12"/>
      <c r="T55" s="12"/>
      <c r="U55" s="12" t="s">
        <v>762</v>
      </c>
      <c r="V55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55" s="12" t="s">
        <v>762</v>
      </c>
      <c r="X55" s="12" t="s">
        <v>762</v>
      </c>
      <c r="Y55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55" s="12" t="s">
        <v>762</v>
      </c>
      <c r="AA55" s="12" t="s">
        <v>762</v>
      </c>
      <c r="AB55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55" s="12" t="s">
        <v>762</v>
      </c>
      <c r="AD55" s="12" t="s">
        <v>762</v>
      </c>
      <c r="AE55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55" s="12" t="s">
        <v>762</v>
      </c>
      <c r="AG55" s="12" t="s">
        <v>762</v>
      </c>
      <c r="AH55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55" s="12" t="s">
        <v>762</v>
      </c>
      <c r="AJ55" s="12" t="s">
        <v>762</v>
      </c>
      <c r="AK55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55" s="12" t="s">
        <v>762</v>
      </c>
      <c r="AM55" s="12"/>
      <c r="AN55" s="12"/>
      <c r="AO55" s="12"/>
      <c r="AP55" s="12"/>
      <c r="AQ55" s="12"/>
      <c r="AR55" s="12"/>
      <c r="AS55" s="12"/>
      <c r="AT55" s="12"/>
      <c r="AU55" s="13">
        <v>43517</v>
      </c>
      <c r="AV55" s="12"/>
    </row>
    <row r="56" spans="1:48" ht="18" customHeight="1" x14ac:dyDescent="0.3">
      <c r="A56" s="12" t="s">
        <v>505</v>
      </c>
      <c r="B56" s="12" t="str">
        <f>IF(NOT(Flex[Parent WO]=""), HYPERLINK("http://ecow.ninja/maximo.html?p=" &amp;Flex[Parent WO],Flex[Parent WO]),"")</f>
        <v>K671502</v>
      </c>
      <c r="C56" s="12" t="s">
        <v>506</v>
      </c>
      <c r="D56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TK777602</v>
      </c>
      <c r="E56" s="12" t="s">
        <v>507</v>
      </c>
      <c r="F56" s="12" t="s">
        <v>504</v>
      </c>
      <c r="G56" s="13">
        <v>43516</v>
      </c>
      <c r="H56" s="13">
        <v>43516</v>
      </c>
      <c r="I56" s="12"/>
      <c r="J56" s="13">
        <v>43586</v>
      </c>
      <c r="K56" s="12" t="s">
        <v>379</v>
      </c>
      <c r="L56" s="1" t="s">
        <v>34</v>
      </c>
      <c r="M56" s="12">
        <v>3</v>
      </c>
      <c r="N56" s="12">
        <v>24</v>
      </c>
      <c r="O56" s="12">
        <v>2</v>
      </c>
      <c r="P56" s="14"/>
      <c r="Q56" s="14"/>
      <c r="R56" s="12" t="s">
        <v>30</v>
      </c>
      <c r="S56" s="12" t="s">
        <v>30</v>
      </c>
      <c r="T56" s="12" t="s">
        <v>33</v>
      </c>
      <c r="U56" s="12" t="s">
        <v>980</v>
      </c>
      <c r="V56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221884 Verified</v>
      </c>
      <c r="W56" s="12" t="s">
        <v>784</v>
      </c>
      <c r="X56" s="12" t="s">
        <v>762</v>
      </c>
      <c r="Y56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56" s="12" t="s">
        <v>762</v>
      </c>
      <c r="AA56" s="12" t="s">
        <v>762</v>
      </c>
      <c r="AB56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56" s="12" t="s">
        <v>762</v>
      </c>
      <c r="AD56" s="12" t="s">
        <v>762</v>
      </c>
      <c r="AE56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56" s="12" t="s">
        <v>762</v>
      </c>
      <c r="AG56" s="12" t="s">
        <v>762</v>
      </c>
      <c r="AH56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56" s="12" t="s">
        <v>762</v>
      </c>
      <c r="AJ56" s="12" t="s">
        <v>762</v>
      </c>
      <c r="AK56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56" s="12" t="s">
        <v>762</v>
      </c>
      <c r="AM56" s="12"/>
      <c r="AN56" s="12"/>
      <c r="AO56" s="12"/>
      <c r="AP56" s="12" t="s">
        <v>379</v>
      </c>
      <c r="AQ56" s="12"/>
      <c r="AR56" s="12"/>
      <c r="AS56" s="12"/>
      <c r="AT56" s="12"/>
      <c r="AU56" s="13">
        <v>43517</v>
      </c>
      <c r="AV56" s="21" t="s">
        <v>821</v>
      </c>
    </row>
    <row r="57" spans="1:48" ht="18" customHeight="1" x14ac:dyDescent="0.3">
      <c r="A57" s="12" t="s">
        <v>508</v>
      </c>
      <c r="B57" s="12" t="str">
        <f>IF(NOT(Flex[Parent WO]=""), HYPERLINK("http://ecow.ninja/maximo.html?p=" &amp;Flex[Parent WO],Flex[Parent WO]),"")</f>
        <v>K761258</v>
      </c>
      <c r="C57" s="12" t="s">
        <v>509</v>
      </c>
      <c r="D57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TK853892</v>
      </c>
      <c r="E57" s="12" t="s">
        <v>510</v>
      </c>
      <c r="F57" s="12" t="s">
        <v>511</v>
      </c>
      <c r="G57" s="13">
        <v>43517</v>
      </c>
      <c r="H57" s="13">
        <v>43519</v>
      </c>
      <c r="I57" s="12"/>
      <c r="J57" s="13">
        <v>43572</v>
      </c>
      <c r="K57" s="12" t="s">
        <v>379</v>
      </c>
      <c r="L57" s="1" t="s">
        <v>34</v>
      </c>
      <c r="M57" s="12">
        <v>3</v>
      </c>
      <c r="N57" s="12">
        <v>103.5</v>
      </c>
      <c r="O57" s="12">
        <v>1</v>
      </c>
      <c r="P57" s="14"/>
      <c r="Q57" s="14"/>
      <c r="R57" s="12" t="s">
        <v>42</v>
      </c>
      <c r="S57" s="12" t="s">
        <v>30</v>
      </c>
      <c r="T57" s="12" t="s">
        <v>33</v>
      </c>
      <c r="U57" s="12" t="s">
        <v>762</v>
      </c>
      <c r="V57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57" s="12" t="s">
        <v>762</v>
      </c>
      <c r="X57" s="12" t="s">
        <v>762</v>
      </c>
      <c r="Y57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57" s="12" t="s">
        <v>762</v>
      </c>
      <c r="AA57" s="12" t="s">
        <v>762</v>
      </c>
      <c r="AB57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57" s="12" t="s">
        <v>762</v>
      </c>
      <c r="AD57" s="12" t="s">
        <v>762</v>
      </c>
      <c r="AE57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57" s="12" t="s">
        <v>762</v>
      </c>
      <c r="AG57" s="12" t="s">
        <v>762</v>
      </c>
      <c r="AH57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57" s="12" t="s">
        <v>762</v>
      </c>
      <c r="AJ57" s="12" t="s">
        <v>762</v>
      </c>
      <c r="AK57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57" s="12" t="s">
        <v>762</v>
      </c>
      <c r="AM57" s="12"/>
      <c r="AN57" s="12"/>
      <c r="AO57" s="12"/>
      <c r="AP57" s="12" t="s">
        <v>379</v>
      </c>
      <c r="AQ57" s="12" t="s">
        <v>379</v>
      </c>
      <c r="AR57" s="12"/>
      <c r="AS57" s="12"/>
      <c r="AT57" s="12"/>
      <c r="AU57" s="13">
        <v>43517</v>
      </c>
      <c r="AV57" s="12"/>
    </row>
    <row r="58" spans="1:48" ht="18" customHeight="1" x14ac:dyDescent="0.3">
      <c r="A58" s="12" t="s">
        <v>512</v>
      </c>
      <c r="B58" s="12" t="str">
        <f>IF(NOT(Flex[Parent WO]=""), HYPERLINK("http://ecow.ninja/maximo.html?p=" &amp;Flex[Parent WO],Flex[Parent WO]),"")</f>
        <v>K417247</v>
      </c>
      <c r="C58" s="12" t="s">
        <v>513</v>
      </c>
      <c r="D58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TK748141</v>
      </c>
      <c r="E58" s="12" t="s">
        <v>514</v>
      </c>
      <c r="F58" s="12" t="s">
        <v>515</v>
      </c>
      <c r="G58" s="13">
        <v>43518</v>
      </c>
      <c r="H58" s="13">
        <v>43518</v>
      </c>
      <c r="I58" s="12" t="s">
        <v>496</v>
      </c>
      <c r="J58" s="13">
        <v>43555</v>
      </c>
      <c r="K58" s="12" t="s">
        <v>379</v>
      </c>
      <c r="L58" s="1" t="s">
        <v>29</v>
      </c>
      <c r="M58" s="12">
        <v>3</v>
      </c>
      <c r="N58" s="12">
        <v>30</v>
      </c>
      <c r="O58" s="12">
        <v>3</v>
      </c>
      <c r="P58" s="14"/>
      <c r="Q58" s="14"/>
      <c r="R58" s="12" t="s">
        <v>30</v>
      </c>
      <c r="S58" s="12" t="s">
        <v>42</v>
      </c>
      <c r="T58" s="12" t="s">
        <v>33</v>
      </c>
      <c r="U58" s="12" t="s">
        <v>983</v>
      </c>
      <c r="V58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280293 Draft</v>
      </c>
      <c r="W58" s="12" t="s">
        <v>788</v>
      </c>
      <c r="X58" s="12" t="s">
        <v>762</v>
      </c>
      <c r="Y58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58" s="12" t="s">
        <v>762</v>
      </c>
      <c r="AA58" s="12" t="s">
        <v>762</v>
      </c>
      <c r="AB58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58" s="12" t="s">
        <v>762</v>
      </c>
      <c r="AD58" s="12" t="s">
        <v>762</v>
      </c>
      <c r="AE58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58" s="12" t="s">
        <v>762</v>
      </c>
      <c r="AG58" s="12" t="s">
        <v>762</v>
      </c>
      <c r="AH58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58" s="12" t="s">
        <v>762</v>
      </c>
      <c r="AJ58" s="12" t="s">
        <v>762</v>
      </c>
      <c r="AK58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58" s="12" t="s">
        <v>762</v>
      </c>
      <c r="AM58" s="12"/>
      <c r="AN58" s="12"/>
      <c r="AO58" s="12"/>
      <c r="AP58" s="12" t="s">
        <v>379</v>
      </c>
      <c r="AQ58" s="12"/>
      <c r="AR58" s="12"/>
      <c r="AS58" s="12"/>
      <c r="AT58" s="12"/>
      <c r="AU58" s="13">
        <v>43517</v>
      </c>
      <c r="AV58" s="12"/>
    </row>
    <row r="59" spans="1:48" ht="18" customHeight="1" x14ac:dyDescent="0.3">
      <c r="A59" s="12" t="s">
        <v>516</v>
      </c>
      <c r="B59" s="12" t="str">
        <f>IF(NOT(Flex[Parent WO]=""), HYPERLINK("http://ecow.ninja/maximo.html?p=" &amp;Flex[Parent WO],Flex[Parent WO]),"")</f>
        <v>K765728</v>
      </c>
      <c r="C59" s="12" t="s">
        <v>517</v>
      </c>
      <c r="D59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TK861469</v>
      </c>
      <c r="E59" s="12" t="s">
        <v>518</v>
      </c>
      <c r="F59" s="12" t="s">
        <v>519</v>
      </c>
      <c r="G59" s="13">
        <v>43520</v>
      </c>
      <c r="H59" s="13">
        <v>43521</v>
      </c>
      <c r="I59" s="12"/>
      <c r="J59" s="13">
        <v>43720</v>
      </c>
      <c r="K59" s="12" t="s">
        <v>379</v>
      </c>
      <c r="L59" s="1" t="s">
        <v>29</v>
      </c>
      <c r="M59" s="12">
        <v>3</v>
      </c>
      <c r="N59" s="12">
        <v>48</v>
      </c>
      <c r="O59" s="12">
        <v>2</v>
      </c>
      <c r="P59" s="14"/>
      <c r="Q59" s="14"/>
      <c r="R59" s="12" t="s">
        <v>30</v>
      </c>
      <c r="S59" s="12" t="s">
        <v>30</v>
      </c>
      <c r="T59" s="12" t="s">
        <v>33</v>
      </c>
      <c r="U59" s="12" t="s">
        <v>762</v>
      </c>
      <c r="V59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59" s="12" t="s">
        <v>762</v>
      </c>
      <c r="X59" s="12" t="s">
        <v>762</v>
      </c>
      <c r="Y59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59" s="12" t="s">
        <v>762</v>
      </c>
      <c r="AA59" s="12" t="s">
        <v>762</v>
      </c>
      <c r="AB59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59" s="12" t="s">
        <v>762</v>
      </c>
      <c r="AD59" s="12" t="s">
        <v>762</v>
      </c>
      <c r="AE59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59" s="12" t="s">
        <v>762</v>
      </c>
      <c r="AG59" s="12" t="s">
        <v>762</v>
      </c>
      <c r="AH59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59" s="12" t="s">
        <v>762</v>
      </c>
      <c r="AJ59" s="12" t="s">
        <v>762</v>
      </c>
      <c r="AK59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59" s="12" t="s">
        <v>762</v>
      </c>
      <c r="AM59" s="12"/>
      <c r="AN59" s="12"/>
      <c r="AO59" s="12"/>
      <c r="AP59" s="12" t="s">
        <v>379</v>
      </c>
      <c r="AQ59" s="12" t="s">
        <v>379</v>
      </c>
      <c r="AR59" s="12"/>
      <c r="AS59" s="12"/>
      <c r="AT59" s="12"/>
      <c r="AU59" s="13">
        <v>43517</v>
      </c>
      <c r="AV59" s="12"/>
    </row>
    <row r="60" spans="1:48" ht="18" customHeight="1" x14ac:dyDescent="0.3">
      <c r="A60" s="12" t="s">
        <v>520</v>
      </c>
      <c r="B60" s="12" t="str">
        <f>IF(NOT(Flex[Parent WO]=""), HYPERLINK("http://ecow.ninja/maximo.html?p=" &amp;Flex[Parent WO],Flex[Parent WO]),"")</f>
        <v>K612975</v>
      </c>
      <c r="C60" s="12" t="s">
        <v>521</v>
      </c>
      <c r="D60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TK725885</v>
      </c>
      <c r="E60" s="12" t="s">
        <v>522</v>
      </c>
      <c r="F60" s="12" t="s">
        <v>523</v>
      </c>
      <c r="G60" s="13">
        <v>43521</v>
      </c>
      <c r="H60" s="13">
        <v>43521</v>
      </c>
      <c r="I60" s="12"/>
      <c r="J60" s="13">
        <v>43555</v>
      </c>
      <c r="K60" s="12" t="s">
        <v>379</v>
      </c>
      <c r="L60" s="1" t="s">
        <v>34</v>
      </c>
      <c r="M60" s="12">
        <v>4</v>
      </c>
      <c r="N60" s="12">
        <v>36</v>
      </c>
      <c r="O60" s="12">
        <v>3</v>
      </c>
      <c r="P60" s="14"/>
      <c r="Q60" s="14"/>
      <c r="R60" s="12" t="s">
        <v>30</v>
      </c>
      <c r="S60" s="12" t="s">
        <v>42</v>
      </c>
      <c r="T60" s="12" t="s">
        <v>31</v>
      </c>
      <c r="U60" s="12" t="s">
        <v>762</v>
      </c>
      <c r="V60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60" s="12" t="s">
        <v>762</v>
      </c>
      <c r="X60" s="12" t="s">
        <v>762</v>
      </c>
      <c r="Y60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60" s="12" t="s">
        <v>762</v>
      </c>
      <c r="AA60" s="12" t="s">
        <v>762</v>
      </c>
      <c r="AB60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60" s="12" t="s">
        <v>762</v>
      </c>
      <c r="AD60" s="12" t="s">
        <v>762</v>
      </c>
      <c r="AE60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60" s="12" t="s">
        <v>762</v>
      </c>
      <c r="AG60" s="12" t="s">
        <v>762</v>
      </c>
      <c r="AH60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60" s="12" t="s">
        <v>762</v>
      </c>
      <c r="AJ60" s="12" t="s">
        <v>762</v>
      </c>
      <c r="AK60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60" s="12" t="s">
        <v>762</v>
      </c>
      <c r="AM60" s="12"/>
      <c r="AN60" s="12"/>
      <c r="AO60" s="12"/>
      <c r="AP60" s="12" t="s">
        <v>379</v>
      </c>
      <c r="AQ60" s="12"/>
      <c r="AR60" s="12"/>
      <c r="AS60" s="12"/>
      <c r="AT60" s="12"/>
      <c r="AU60" s="13">
        <v>43517</v>
      </c>
      <c r="AV60" s="12"/>
    </row>
    <row r="61" spans="1:48" ht="18" customHeight="1" x14ac:dyDescent="0.3">
      <c r="A61" s="12"/>
      <c r="B61" s="12" t="str">
        <f>IF(NOT(Flex[Parent WO]=""), HYPERLINK("http://ecow.ninja/maximo.html?p=" &amp;Flex[Parent WO],Flex[Parent WO]),"")</f>
        <v/>
      </c>
      <c r="C61" s="12" t="s">
        <v>61</v>
      </c>
      <c r="D61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2/28/2019</v>
      </c>
      <c r="E61" s="12"/>
      <c r="F61" s="12"/>
      <c r="G61" s="13"/>
      <c r="H61" s="13"/>
      <c r="I61" s="12"/>
      <c r="J61" s="13"/>
      <c r="K61" s="12"/>
      <c r="M61" s="12"/>
      <c r="N61" s="12"/>
      <c r="O61" s="12"/>
      <c r="P61" s="14"/>
      <c r="Q61" s="14"/>
      <c r="R61" s="12"/>
      <c r="S61" s="12"/>
      <c r="T61" s="12"/>
      <c r="U61" s="12" t="s">
        <v>762</v>
      </c>
      <c r="V61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61" s="12" t="s">
        <v>762</v>
      </c>
      <c r="X61" s="12" t="s">
        <v>762</v>
      </c>
      <c r="Y61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61" s="12" t="s">
        <v>762</v>
      </c>
      <c r="AA61" s="12" t="s">
        <v>762</v>
      </c>
      <c r="AB61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61" s="12" t="s">
        <v>762</v>
      </c>
      <c r="AD61" s="12" t="s">
        <v>762</v>
      </c>
      <c r="AE61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61" s="12" t="s">
        <v>762</v>
      </c>
      <c r="AG61" s="12" t="s">
        <v>762</v>
      </c>
      <c r="AH61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61" s="12" t="s">
        <v>762</v>
      </c>
      <c r="AJ61" s="12" t="s">
        <v>762</v>
      </c>
      <c r="AK61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61" s="12" t="s">
        <v>762</v>
      </c>
      <c r="AM61" s="12"/>
      <c r="AN61" s="12"/>
      <c r="AO61" s="12"/>
      <c r="AP61" s="12"/>
      <c r="AQ61" s="12"/>
      <c r="AR61" s="12"/>
      <c r="AS61" s="12"/>
      <c r="AT61" s="12"/>
      <c r="AU61" s="13">
        <v>43524</v>
      </c>
      <c r="AV61" s="12"/>
    </row>
    <row r="62" spans="1:48" ht="18" customHeight="1" x14ac:dyDescent="0.3">
      <c r="A62" s="12" t="s">
        <v>524</v>
      </c>
      <c r="B62" s="12" t="str">
        <f>IF(NOT(Flex[Parent WO]=""), HYPERLINK("http://ecow.ninja/maximo.html?p=" &amp;Flex[Parent WO],Flex[Parent WO]),"")</f>
        <v>K569475</v>
      </c>
      <c r="C62" s="12" t="s">
        <v>525</v>
      </c>
      <c r="D62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TK725882</v>
      </c>
      <c r="E62" s="12" t="s">
        <v>526</v>
      </c>
      <c r="F62" s="12" t="s">
        <v>523</v>
      </c>
      <c r="G62" s="13">
        <v>43523</v>
      </c>
      <c r="H62" s="13">
        <v>43523</v>
      </c>
      <c r="I62" s="12"/>
      <c r="J62" s="13">
        <v>43555</v>
      </c>
      <c r="K62" s="12" t="s">
        <v>379</v>
      </c>
      <c r="L62" s="1" t="s">
        <v>29</v>
      </c>
      <c r="M62" s="12">
        <v>4</v>
      </c>
      <c r="N62" s="12">
        <v>32</v>
      </c>
      <c r="O62" s="12">
        <v>3</v>
      </c>
      <c r="P62" s="14"/>
      <c r="Q62" s="14"/>
      <c r="R62" s="12" t="s">
        <v>30</v>
      </c>
      <c r="S62" s="12" t="s">
        <v>42</v>
      </c>
      <c r="T62" s="12" t="s">
        <v>31</v>
      </c>
      <c r="U62" s="12" t="s">
        <v>762</v>
      </c>
      <c r="V62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62" s="12" t="s">
        <v>762</v>
      </c>
      <c r="X62" s="12" t="s">
        <v>762</v>
      </c>
      <c r="Y62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62" s="12" t="s">
        <v>762</v>
      </c>
      <c r="AA62" s="12" t="s">
        <v>762</v>
      </c>
      <c r="AB62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62" s="12" t="s">
        <v>762</v>
      </c>
      <c r="AD62" s="12" t="s">
        <v>762</v>
      </c>
      <c r="AE62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62" s="12" t="s">
        <v>762</v>
      </c>
      <c r="AG62" s="12" t="s">
        <v>762</v>
      </c>
      <c r="AH62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62" s="12" t="s">
        <v>762</v>
      </c>
      <c r="AJ62" s="12" t="s">
        <v>762</v>
      </c>
      <c r="AK62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62" s="12" t="s">
        <v>762</v>
      </c>
      <c r="AM62" s="12"/>
      <c r="AN62" s="12"/>
      <c r="AO62" s="12"/>
      <c r="AP62" s="12" t="s">
        <v>379</v>
      </c>
      <c r="AQ62" s="12" t="s">
        <v>527</v>
      </c>
      <c r="AR62" s="12"/>
      <c r="AS62" s="12"/>
      <c r="AT62" s="12"/>
      <c r="AU62" s="13">
        <v>43524</v>
      </c>
      <c r="AV62" s="12"/>
    </row>
    <row r="63" spans="1:48" ht="18" customHeight="1" x14ac:dyDescent="0.3">
      <c r="A63" s="12" t="s">
        <v>528</v>
      </c>
      <c r="B63" s="12" t="str">
        <f>IF(NOT(Flex[Parent WO]=""), HYPERLINK("http://ecow.ninja/maximo.html?p=" &amp;Flex[Parent WO],Flex[Parent WO]),"")</f>
        <v>K506703</v>
      </c>
      <c r="C63" s="12" t="s">
        <v>529</v>
      </c>
      <c r="D63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TK683480</v>
      </c>
      <c r="E63" s="12" t="s">
        <v>530</v>
      </c>
      <c r="F63" s="12" t="s">
        <v>531</v>
      </c>
      <c r="G63" s="13">
        <v>43525</v>
      </c>
      <c r="H63" s="13">
        <v>43525</v>
      </c>
      <c r="I63" s="12"/>
      <c r="J63" s="13">
        <v>43556</v>
      </c>
      <c r="K63" s="12" t="s">
        <v>379</v>
      </c>
      <c r="L63" s="1" t="s">
        <v>29</v>
      </c>
      <c r="M63" s="12">
        <v>4</v>
      </c>
      <c r="N63" s="12">
        <v>32</v>
      </c>
      <c r="O63" s="12">
        <v>2</v>
      </c>
      <c r="P63" s="14"/>
      <c r="Q63" s="14"/>
      <c r="R63" s="12" t="s">
        <v>30</v>
      </c>
      <c r="S63" s="12" t="s">
        <v>30</v>
      </c>
      <c r="T63" s="12" t="s">
        <v>31</v>
      </c>
      <c r="U63" s="12" t="s">
        <v>984</v>
      </c>
      <c r="V63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288226 RTV</v>
      </c>
      <c r="W63" s="12" t="s">
        <v>786</v>
      </c>
      <c r="X63" s="12" t="s">
        <v>762</v>
      </c>
      <c r="Y63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63" s="12" t="s">
        <v>762</v>
      </c>
      <c r="AA63" s="12" t="s">
        <v>762</v>
      </c>
      <c r="AB63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63" s="12" t="s">
        <v>762</v>
      </c>
      <c r="AD63" s="12" t="s">
        <v>762</v>
      </c>
      <c r="AE63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63" s="12" t="s">
        <v>762</v>
      </c>
      <c r="AG63" s="12" t="s">
        <v>762</v>
      </c>
      <c r="AH63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63" s="12" t="s">
        <v>762</v>
      </c>
      <c r="AJ63" s="12" t="s">
        <v>762</v>
      </c>
      <c r="AK63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63" s="12" t="s">
        <v>762</v>
      </c>
      <c r="AM63" s="12"/>
      <c r="AN63" s="12"/>
      <c r="AO63" s="12"/>
      <c r="AP63" s="12" t="s">
        <v>379</v>
      </c>
      <c r="AQ63" s="12" t="s">
        <v>379</v>
      </c>
      <c r="AR63" s="12"/>
      <c r="AS63" s="12"/>
      <c r="AT63" s="12"/>
      <c r="AU63" s="13">
        <v>43524</v>
      </c>
      <c r="AV63" s="12" t="s">
        <v>836</v>
      </c>
    </row>
    <row r="64" spans="1:48" ht="18" customHeight="1" x14ac:dyDescent="0.3">
      <c r="A64" s="12" t="s">
        <v>532</v>
      </c>
      <c r="B64" s="12" t="str">
        <f>IF(NOT(Flex[Parent WO]=""), HYPERLINK("http://ecow.ninja/maximo.html?p=" &amp;Flex[Parent WO],Flex[Parent WO]),"")</f>
        <v>K565430</v>
      </c>
      <c r="C64" s="12" t="s">
        <v>533</v>
      </c>
      <c r="D64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TK684193</v>
      </c>
      <c r="E64" s="12" t="s">
        <v>534</v>
      </c>
      <c r="F64" s="12" t="s">
        <v>531</v>
      </c>
      <c r="G64" s="13">
        <v>43526</v>
      </c>
      <c r="H64" s="13">
        <v>43526</v>
      </c>
      <c r="I64" s="12"/>
      <c r="J64" s="13">
        <v>43556</v>
      </c>
      <c r="K64" s="12" t="s">
        <v>379</v>
      </c>
      <c r="L64" s="1" t="s">
        <v>34</v>
      </c>
      <c r="M64" s="12">
        <v>4</v>
      </c>
      <c r="N64" s="12">
        <v>40</v>
      </c>
      <c r="O64" s="12">
        <v>2</v>
      </c>
      <c r="P64" s="14"/>
      <c r="Q64" s="14"/>
      <c r="R64" s="12" t="s">
        <v>30</v>
      </c>
      <c r="S64" s="12" t="s">
        <v>30</v>
      </c>
      <c r="T64" s="12" t="s">
        <v>31</v>
      </c>
      <c r="U64" s="12" t="s">
        <v>984</v>
      </c>
      <c r="V64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288226 RTV</v>
      </c>
      <c r="W64" s="12" t="s">
        <v>786</v>
      </c>
      <c r="X64" s="12" t="s">
        <v>762</v>
      </c>
      <c r="Y64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64" s="12" t="s">
        <v>762</v>
      </c>
      <c r="AA64" s="12" t="s">
        <v>762</v>
      </c>
      <c r="AB64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64" s="12" t="s">
        <v>762</v>
      </c>
      <c r="AD64" s="12" t="s">
        <v>762</v>
      </c>
      <c r="AE64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64" s="12" t="s">
        <v>762</v>
      </c>
      <c r="AG64" s="12" t="s">
        <v>762</v>
      </c>
      <c r="AH64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64" s="12" t="s">
        <v>762</v>
      </c>
      <c r="AJ64" s="12" t="s">
        <v>762</v>
      </c>
      <c r="AK64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64" s="12" t="s">
        <v>762</v>
      </c>
      <c r="AM64" s="12"/>
      <c r="AN64" s="12"/>
      <c r="AO64" s="12" t="s">
        <v>38</v>
      </c>
      <c r="AP64" s="12" t="s">
        <v>379</v>
      </c>
      <c r="AQ64" s="12" t="s">
        <v>379</v>
      </c>
      <c r="AR64" s="12"/>
      <c r="AS64" s="12"/>
      <c r="AT64" s="12"/>
      <c r="AU64" s="13">
        <v>43524</v>
      </c>
      <c r="AV64" s="12" t="s">
        <v>831</v>
      </c>
    </row>
    <row r="65" spans="1:48" ht="18" customHeight="1" x14ac:dyDescent="0.3">
      <c r="A65" s="12" t="s">
        <v>535</v>
      </c>
      <c r="B65" s="12" t="str">
        <f>IF(NOT(Flex[Parent WO]=""), HYPERLINK("http://ecow.ninja/maximo.html?p=" &amp;Flex[Parent WO],Flex[Parent WO]),"")</f>
        <v>K737224</v>
      </c>
      <c r="C65" s="12" t="s">
        <v>536</v>
      </c>
      <c r="D65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TK832806</v>
      </c>
      <c r="E65" s="12" t="s">
        <v>537</v>
      </c>
      <c r="F65" s="12" t="s">
        <v>538</v>
      </c>
      <c r="G65" s="13">
        <v>43527</v>
      </c>
      <c r="H65" s="13">
        <v>43527</v>
      </c>
      <c r="I65" s="12"/>
      <c r="J65" s="13">
        <v>43556</v>
      </c>
      <c r="K65" s="12" t="s">
        <v>379</v>
      </c>
      <c r="L65" s="1" t="s">
        <v>29</v>
      </c>
      <c r="M65" s="12">
        <v>1</v>
      </c>
      <c r="N65" s="12">
        <v>11.5</v>
      </c>
      <c r="O65" s="12">
        <v>3</v>
      </c>
      <c r="P65" s="14"/>
      <c r="Q65" s="14"/>
      <c r="R65" s="12" t="s">
        <v>30</v>
      </c>
      <c r="S65" s="12" t="s">
        <v>30</v>
      </c>
      <c r="T65" s="12" t="s">
        <v>31</v>
      </c>
      <c r="U65" s="12" t="s">
        <v>985</v>
      </c>
      <c r="V65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288298 Verified</v>
      </c>
      <c r="W65" s="12" t="s">
        <v>784</v>
      </c>
      <c r="X65" s="12" t="s">
        <v>762</v>
      </c>
      <c r="Y65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65" s="12" t="s">
        <v>762</v>
      </c>
      <c r="AA65" s="12" t="s">
        <v>762</v>
      </c>
      <c r="AB65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65" s="12" t="s">
        <v>762</v>
      </c>
      <c r="AD65" s="12" t="s">
        <v>762</v>
      </c>
      <c r="AE65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65" s="12" t="s">
        <v>762</v>
      </c>
      <c r="AG65" s="12" t="s">
        <v>762</v>
      </c>
      <c r="AH65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65" s="12" t="s">
        <v>762</v>
      </c>
      <c r="AJ65" s="12" t="s">
        <v>762</v>
      </c>
      <c r="AK65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65" s="12" t="s">
        <v>762</v>
      </c>
      <c r="AM65" s="12"/>
      <c r="AN65" s="12"/>
      <c r="AO65" s="12"/>
      <c r="AP65" s="12" t="s">
        <v>379</v>
      </c>
      <c r="AQ65" s="12" t="s">
        <v>539</v>
      </c>
      <c r="AR65" s="12"/>
      <c r="AS65" s="12"/>
      <c r="AT65" s="12"/>
      <c r="AU65" s="13">
        <v>43524</v>
      </c>
      <c r="AV65" s="12"/>
    </row>
    <row r="66" spans="1:48" ht="18" customHeight="1" x14ac:dyDescent="0.3">
      <c r="A66" s="12" t="s">
        <v>540</v>
      </c>
      <c r="B66" s="12" t="str">
        <f>IF(NOT(Flex[Parent WO]=""), HYPERLINK("http://ecow.ninja/maximo.html?p=" &amp;Flex[Parent WO],Flex[Parent WO]),"")</f>
        <v>K687875</v>
      </c>
      <c r="C66" s="12" t="s">
        <v>541</v>
      </c>
      <c r="D66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TK797564</v>
      </c>
      <c r="E66" s="12" t="s">
        <v>542</v>
      </c>
      <c r="F66" s="12" t="s">
        <v>543</v>
      </c>
      <c r="G66" s="13">
        <v>43528</v>
      </c>
      <c r="H66" s="13">
        <v>43528</v>
      </c>
      <c r="I66" s="12"/>
      <c r="J66" s="13">
        <v>43525</v>
      </c>
      <c r="K66" s="12" t="s">
        <v>379</v>
      </c>
      <c r="L66" s="1" t="s">
        <v>29</v>
      </c>
      <c r="M66" s="12">
        <v>3</v>
      </c>
      <c r="N66" s="12">
        <v>30</v>
      </c>
      <c r="O66" s="12">
        <v>3</v>
      </c>
      <c r="P66" s="14"/>
      <c r="Q66" s="14"/>
      <c r="R66" s="12" t="s">
        <v>30</v>
      </c>
      <c r="S66" s="12" t="s">
        <v>30</v>
      </c>
      <c r="T66" s="12" t="s">
        <v>31</v>
      </c>
      <c r="U66" s="12" t="s">
        <v>986</v>
      </c>
      <c r="V66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233516 Closed</v>
      </c>
      <c r="W66" s="12" t="s">
        <v>790</v>
      </c>
      <c r="X66" s="12" t="s">
        <v>762</v>
      </c>
      <c r="Y66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66" s="12" t="s">
        <v>762</v>
      </c>
      <c r="AA66" s="12" t="s">
        <v>762</v>
      </c>
      <c r="AB66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66" s="12" t="s">
        <v>762</v>
      </c>
      <c r="AD66" s="12" t="s">
        <v>762</v>
      </c>
      <c r="AE66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66" s="12" t="s">
        <v>762</v>
      </c>
      <c r="AG66" s="12" t="s">
        <v>762</v>
      </c>
      <c r="AH66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66" s="12" t="s">
        <v>762</v>
      </c>
      <c r="AJ66" s="12" t="s">
        <v>762</v>
      </c>
      <c r="AK66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66" s="12" t="s">
        <v>762</v>
      </c>
      <c r="AM66" s="12"/>
      <c r="AN66" s="12"/>
      <c r="AO66" s="12"/>
      <c r="AP66" s="12" t="s">
        <v>379</v>
      </c>
      <c r="AQ66" s="12"/>
      <c r="AR66" s="12"/>
      <c r="AS66" s="12"/>
      <c r="AT66" s="12"/>
      <c r="AU66" s="13">
        <v>43524</v>
      </c>
      <c r="AV66" s="12"/>
    </row>
    <row r="67" spans="1:48" ht="18" customHeight="1" x14ac:dyDescent="0.3">
      <c r="A67" s="12"/>
      <c r="B67" s="12" t="str">
        <f>IF(NOT(Flex[Parent WO]=""), HYPERLINK("http://ecow.ninja/maximo.html?p=" &amp;Flex[Parent WO],Flex[Parent WO]),"")</f>
        <v/>
      </c>
      <c r="C67" s="12" t="s">
        <v>62</v>
      </c>
      <c r="D67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3/7/2019</v>
      </c>
      <c r="E67" s="12"/>
      <c r="F67" s="12"/>
      <c r="G67" s="13"/>
      <c r="H67" s="13"/>
      <c r="I67" s="12"/>
      <c r="J67" s="13"/>
      <c r="K67" s="12"/>
      <c r="M67" s="12"/>
      <c r="N67" s="12"/>
      <c r="O67" s="12"/>
      <c r="P67" s="14"/>
      <c r="Q67" s="14"/>
      <c r="R67" s="12"/>
      <c r="S67" s="12"/>
      <c r="T67" s="12"/>
      <c r="U67" s="12" t="s">
        <v>762</v>
      </c>
      <c r="V67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67" s="12" t="s">
        <v>762</v>
      </c>
      <c r="X67" s="12" t="s">
        <v>762</v>
      </c>
      <c r="Y67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67" s="12" t="s">
        <v>762</v>
      </c>
      <c r="AA67" s="12" t="s">
        <v>762</v>
      </c>
      <c r="AB67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67" s="12" t="s">
        <v>762</v>
      </c>
      <c r="AD67" s="12" t="s">
        <v>762</v>
      </c>
      <c r="AE67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67" s="12" t="s">
        <v>762</v>
      </c>
      <c r="AG67" s="12" t="s">
        <v>762</v>
      </c>
      <c r="AH67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67" s="12" t="s">
        <v>762</v>
      </c>
      <c r="AJ67" s="12" t="s">
        <v>762</v>
      </c>
      <c r="AK67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67" s="12" t="s">
        <v>762</v>
      </c>
      <c r="AM67" s="12"/>
      <c r="AN67" s="12"/>
      <c r="AO67" s="12"/>
      <c r="AP67" s="12"/>
      <c r="AQ67" s="12"/>
      <c r="AR67" s="12"/>
      <c r="AS67" s="12"/>
      <c r="AT67" s="12"/>
      <c r="AU67" s="13">
        <v>43531</v>
      </c>
      <c r="AV67" s="12"/>
    </row>
    <row r="68" spans="1:48" ht="18" customHeight="1" x14ac:dyDescent="0.3">
      <c r="A68" s="12" t="s">
        <v>544</v>
      </c>
      <c r="B68" s="12" t="str">
        <f>IF(NOT(Flex[Parent WO]=""), HYPERLINK("http://ecow.ninja/maximo.html?p=" &amp;Flex[Parent WO],Flex[Parent WO]),"")</f>
        <v>K736941</v>
      </c>
      <c r="C68" s="12" t="s">
        <v>545</v>
      </c>
      <c r="D68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TK832586</v>
      </c>
      <c r="E68" s="12" t="s">
        <v>546</v>
      </c>
      <c r="F68" s="12" t="s">
        <v>54</v>
      </c>
      <c r="G68" s="13">
        <v>43528</v>
      </c>
      <c r="H68" s="13">
        <v>43531</v>
      </c>
      <c r="I68" s="12"/>
      <c r="J68" s="13">
        <v>43830</v>
      </c>
      <c r="K68" s="12" t="s">
        <v>379</v>
      </c>
      <c r="L68" s="1" t="s">
        <v>34</v>
      </c>
      <c r="M68" s="12">
        <v>3</v>
      </c>
      <c r="N68" s="12">
        <v>138</v>
      </c>
      <c r="O68" s="12">
        <v>3</v>
      </c>
      <c r="P68" s="14"/>
      <c r="Q68" s="14"/>
      <c r="R68" s="12" t="s">
        <v>30</v>
      </c>
      <c r="S68" s="12" t="s">
        <v>30</v>
      </c>
      <c r="T68" s="12" t="s">
        <v>33</v>
      </c>
      <c r="U68" s="12" t="s">
        <v>762</v>
      </c>
      <c r="V68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68" s="12" t="s">
        <v>762</v>
      </c>
      <c r="X68" s="12" t="s">
        <v>762</v>
      </c>
      <c r="Y68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68" s="12" t="s">
        <v>762</v>
      </c>
      <c r="AA68" s="12" t="s">
        <v>762</v>
      </c>
      <c r="AB68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68" s="12" t="s">
        <v>762</v>
      </c>
      <c r="AD68" s="12" t="s">
        <v>762</v>
      </c>
      <c r="AE68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68" s="12" t="s">
        <v>762</v>
      </c>
      <c r="AG68" s="12" t="s">
        <v>762</v>
      </c>
      <c r="AH68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68" s="12" t="s">
        <v>762</v>
      </c>
      <c r="AJ68" s="12" t="s">
        <v>762</v>
      </c>
      <c r="AK68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68" s="12" t="s">
        <v>762</v>
      </c>
      <c r="AM68" s="12"/>
      <c r="AN68" s="12"/>
      <c r="AO68" s="12"/>
      <c r="AP68" s="12" t="s">
        <v>379</v>
      </c>
      <c r="AQ68" s="12" t="s">
        <v>379</v>
      </c>
      <c r="AR68" s="12"/>
      <c r="AS68" s="12"/>
      <c r="AT68" s="12"/>
      <c r="AU68" s="13">
        <v>43531</v>
      </c>
      <c r="AV68" s="12"/>
    </row>
    <row r="69" spans="1:48" ht="18" customHeight="1" x14ac:dyDescent="0.3">
      <c r="A69" s="12" t="s">
        <v>547</v>
      </c>
      <c r="B69" s="12" t="str">
        <f>IF(NOT(Flex[Parent WO]=""), HYPERLINK("http://ecow.ninja/maximo.html?p=" &amp;Flex[Parent WO],Flex[Parent WO]),"")</f>
        <v>K496741</v>
      </c>
      <c r="C69" s="12" t="s">
        <v>548</v>
      </c>
      <c r="D69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TK740591</v>
      </c>
      <c r="E69" s="12" t="s">
        <v>549</v>
      </c>
      <c r="F69" s="12" t="s">
        <v>550</v>
      </c>
      <c r="G69" s="13">
        <v>43529</v>
      </c>
      <c r="H69" s="13">
        <v>43531</v>
      </c>
      <c r="I69" s="12"/>
      <c r="J69" s="13">
        <v>43525</v>
      </c>
      <c r="K69" s="12" t="s">
        <v>379</v>
      </c>
      <c r="L69" s="1" t="s">
        <v>29</v>
      </c>
      <c r="M69" s="12">
        <v>4</v>
      </c>
      <c r="N69" s="12">
        <v>112</v>
      </c>
      <c r="O69" s="12">
        <v>2</v>
      </c>
      <c r="P69" s="14"/>
      <c r="Q69" s="14"/>
      <c r="R69" s="12" t="s">
        <v>30</v>
      </c>
      <c r="S69" s="12" t="s">
        <v>42</v>
      </c>
      <c r="T69" s="12" t="s">
        <v>31</v>
      </c>
      <c r="U69" s="12" t="s">
        <v>986</v>
      </c>
      <c r="V69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233516 Closed</v>
      </c>
      <c r="W69" s="12" t="s">
        <v>790</v>
      </c>
      <c r="X69" s="12" t="s">
        <v>762</v>
      </c>
      <c r="Y69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69" s="12" t="s">
        <v>762</v>
      </c>
      <c r="AA69" s="12" t="s">
        <v>762</v>
      </c>
      <c r="AB69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69" s="12" t="s">
        <v>762</v>
      </c>
      <c r="AD69" s="12" t="s">
        <v>762</v>
      </c>
      <c r="AE69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69" s="12" t="s">
        <v>762</v>
      </c>
      <c r="AG69" s="12" t="s">
        <v>762</v>
      </c>
      <c r="AH69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69" s="12" t="s">
        <v>762</v>
      </c>
      <c r="AJ69" s="12" t="s">
        <v>762</v>
      </c>
      <c r="AK69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69" s="12" t="s">
        <v>762</v>
      </c>
      <c r="AM69" s="12"/>
      <c r="AN69" s="12"/>
      <c r="AO69" s="12" t="s">
        <v>32</v>
      </c>
      <c r="AP69" s="12" t="s">
        <v>379</v>
      </c>
      <c r="AQ69" s="12"/>
      <c r="AR69" s="12"/>
      <c r="AS69" s="12"/>
      <c r="AT69" s="12"/>
      <c r="AU69" s="13">
        <v>43531</v>
      </c>
      <c r="AV69" s="12"/>
    </row>
    <row r="70" spans="1:48" ht="18" customHeight="1" x14ac:dyDescent="0.3">
      <c r="A70" s="12" t="s">
        <v>551</v>
      </c>
      <c r="B70" s="12" t="str">
        <f>IF(NOT(Flex[Parent WO]=""), HYPERLINK("http://ecow.ninja/maximo.html?p=" &amp;Flex[Parent WO],Flex[Parent WO]),"")</f>
        <v>K537912</v>
      </c>
      <c r="C70" s="12" t="s">
        <v>552</v>
      </c>
      <c r="D70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TK660049</v>
      </c>
      <c r="E70" s="12" t="s">
        <v>553</v>
      </c>
      <c r="F70" s="12" t="s">
        <v>554</v>
      </c>
      <c r="G70" s="13">
        <v>43535</v>
      </c>
      <c r="H70" s="13">
        <v>43535</v>
      </c>
      <c r="I70" s="12"/>
      <c r="J70" s="13">
        <v>43585</v>
      </c>
      <c r="K70" s="12" t="s">
        <v>379</v>
      </c>
      <c r="L70" s="1" t="s">
        <v>34</v>
      </c>
      <c r="M70" s="12">
        <v>5</v>
      </c>
      <c r="N70" s="12">
        <v>50</v>
      </c>
      <c r="O70" s="12">
        <v>2</v>
      </c>
      <c r="P70" s="14"/>
      <c r="Q70" s="14"/>
      <c r="R70" s="12" t="s">
        <v>30</v>
      </c>
      <c r="S70" s="12" t="s">
        <v>30</v>
      </c>
      <c r="T70" s="12" t="s">
        <v>31</v>
      </c>
      <c r="U70" s="12" t="s">
        <v>987</v>
      </c>
      <c r="V70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209805 Draft</v>
      </c>
      <c r="W70" s="12" t="s">
        <v>788</v>
      </c>
      <c r="X70" s="12" t="s">
        <v>988</v>
      </c>
      <c r="Y70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108855 Verified</v>
      </c>
      <c r="Z70" s="12" t="s">
        <v>784</v>
      </c>
      <c r="AA70" s="12" t="s">
        <v>762</v>
      </c>
      <c r="AB70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70" s="12" t="s">
        <v>762</v>
      </c>
      <c r="AD70" s="12" t="s">
        <v>762</v>
      </c>
      <c r="AE70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70" s="12" t="s">
        <v>762</v>
      </c>
      <c r="AG70" s="12" t="s">
        <v>762</v>
      </c>
      <c r="AH70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70" s="12" t="s">
        <v>762</v>
      </c>
      <c r="AJ70" s="12" t="s">
        <v>762</v>
      </c>
      <c r="AK70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70" s="12" t="s">
        <v>762</v>
      </c>
      <c r="AM70" s="12"/>
      <c r="AN70" s="12"/>
      <c r="AO70" s="12" t="s">
        <v>32</v>
      </c>
      <c r="AP70" s="12" t="s">
        <v>379</v>
      </c>
      <c r="AQ70" s="12" t="s">
        <v>379</v>
      </c>
      <c r="AR70" s="12"/>
      <c r="AS70" s="12"/>
      <c r="AT70" s="12"/>
      <c r="AU70" s="13">
        <v>43531</v>
      </c>
      <c r="AV70" s="12"/>
    </row>
    <row r="71" spans="1:48" ht="18" customHeight="1" x14ac:dyDescent="0.3">
      <c r="A71" s="12"/>
      <c r="B71" s="12" t="str">
        <f>IF(NOT(Flex[Parent WO]=""), HYPERLINK("http://ecow.ninja/maximo.html?p=" &amp;Flex[Parent WO],Flex[Parent WO]),"")</f>
        <v/>
      </c>
      <c r="C71" s="12" t="s">
        <v>64</v>
      </c>
      <c r="D71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3/14/2019</v>
      </c>
      <c r="E71" s="12"/>
      <c r="F71" s="12"/>
      <c r="G71" s="13"/>
      <c r="H71" s="13"/>
      <c r="I71" s="12"/>
      <c r="J71" s="13"/>
      <c r="K71" s="12"/>
      <c r="M71" s="12"/>
      <c r="N71" s="12"/>
      <c r="O71" s="12"/>
      <c r="P71" s="14"/>
      <c r="Q71" s="14"/>
      <c r="R71" s="12"/>
      <c r="S71" s="12"/>
      <c r="T71" s="12"/>
      <c r="U71" s="12" t="s">
        <v>762</v>
      </c>
      <c r="V71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71" s="12" t="s">
        <v>762</v>
      </c>
      <c r="X71" s="12" t="s">
        <v>762</v>
      </c>
      <c r="Y71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71" s="12" t="s">
        <v>762</v>
      </c>
      <c r="AA71" s="12" t="s">
        <v>762</v>
      </c>
      <c r="AB71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71" s="12" t="s">
        <v>762</v>
      </c>
      <c r="AD71" s="12" t="s">
        <v>762</v>
      </c>
      <c r="AE71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71" s="12" t="s">
        <v>762</v>
      </c>
      <c r="AG71" s="12" t="s">
        <v>762</v>
      </c>
      <c r="AH71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71" s="12" t="s">
        <v>762</v>
      </c>
      <c r="AJ71" s="12" t="s">
        <v>762</v>
      </c>
      <c r="AK71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71" s="12" t="s">
        <v>762</v>
      </c>
      <c r="AM71" s="12"/>
      <c r="AN71" s="12"/>
      <c r="AO71" s="12"/>
      <c r="AP71" s="12"/>
      <c r="AQ71" s="12"/>
      <c r="AR71" s="12"/>
      <c r="AS71" s="12"/>
      <c r="AT71" s="12"/>
      <c r="AU71" s="13">
        <v>43538</v>
      </c>
      <c r="AV71" s="12"/>
    </row>
    <row r="72" spans="1:48" ht="18" customHeight="1" x14ac:dyDescent="0.3">
      <c r="A72" s="12" t="s">
        <v>838</v>
      </c>
      <c r="B72" s="12" t="str">
        <f>IF(NOT(Flex[Parent WO]=""), HYPERLINK("http://ecow.ninja/maximo.html?p=" &amp;Flex[Parent WO],Flex[Parent WO]),"")</f>
        <v>K779854</v>
      </c>
      <c r="C72" s="12" t="s">
        <v>839</v>
      </c>
      <c r="D72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TK868761</v>
      </c>
      <c r="E72" s="12" t="s">
        <v>840</v>
      </c>
      <c r="F72" s="12" t="s">
        <v>841</v>
      </c>
      <c r="G72" s="13">
        <v>43537</v>
      </c>
      <c r="H72" s="13">
        <v>43537</v>
      </c>
      <c r="I72" s="12" t="s">
        <v>36</v>
      </c>
      <c r="J72" s="13">
        <v>43555</v>
      </c>
      <c r="K72" s="12" t="s">
        <v>379</v>
      </c>
      <c r="L72" s="1" t="s">
        <v>34</v>
      </c>
      <c r="M72" s="12">
        <v>3</v>
      </c>
      <c r="N72" s="12">
        <v>34.5</v>
      </c>
      <c r="O72" s="12">
        <v>2</v>
      </c>
      <c r="P72" s="14"/>
      <c r="Q72" s="14"/>
      <c r="R72" s="12" t="s">
        <v>30</v>
      </c>
      <c r="S72" s="12" t="s">
        <v>30</v>
      </c>
      <c r="T72" s="12" t="s">
        <v>33</v>
      </c>
      <c r="U72" s="12" t="s">
        <v>762</v>
      </c>
      <c r="V72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72" s="12" t="s">
        <v>762</v>
      </c>
      <c r="X72" s="12" t="s">
        <v>762</v>
      </c>
      <c r="Y72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72" s="12" t="s">
        <v>762</v>
      </c>
      <c r="AA72" s="12" t="s">
        <v>762</v>
      </c>
      <c r="AB72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72" s="12" t="s">
        <v>762</v>
      </c>
      <c r="AD72" s="12" t="s">
        <v>762</v>
      </c>
      <c r="AE72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72" s="12" t="s">
        <v>762</v>
      </c>
      <c r="AG72" s="12" t="s">
        <v>762</v>
      </c>
      <c r="AH72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72" s="12" t="s">
        <v>762</v>
      </c>
      <c r="AJ72" s="12" t="s">
        <v>762</v>
      </c>
      <c r="AK72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72" s="12" t="s">
        <v>762</v>
      </c>
      <c r="AM72" s="12"/>
      <c r="AN72" s="12"/>
      <c r="AO72" s="12"/>
      <c r="AP72" s="12" t="s">
        <v>379</v>
      </c>
      <c r="AQ72" s="12" t="s">
        <v>379</v>
      </c>
      <c r="AR72" s="12"/>
      <c r="AS72" s="12"/>
      <c r="AT72" s="12"/>
      <c r="AU72" s="13">
        <v>43538</v>
      </c>
      <c r="AV72" s="12"/>
    </row>
    <row r="73" spans="1:48" ht="18" customHeight="1" x14ac:dyDescent="0.3">
      <c r="A73" s="12" t="s">
        <v>842</v>
      </c>
      <c r="B73" s="12" t="str">
        <f>IF(NOT(Flex[Parent WO]=""), HYPERLINK("http://ecow.ninja/maximo.html?p=" &amp;Flex[Parent WO],Flex[Parent WO]),"")</f>
        <v>K752827</v>
      </c>
      <c r="C73" s="12" t="s">
        <v>843</v>
      </c>
      <c r="D73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TK868699</v>
      </c>
      <c r="E73" s="12" t="s">
        <v>844</v>
      </c>
      <c r="F73" s="12" t="s">
        <v>841</v>
      </c>
      <c r="G73" s="13">
        <v>43538</v>
      </c>
      <c r="H73" s="13">
        <v>43539</v>
      </c>
      <c r="I73" s="12" t="s">
        <v>36</v>
      </c>
      <c r="J73" s="13">
        <v>43555</v>
      </c>
      <c r="K73" s="12" t="s">
        <v>379</v>
      </c>
      <c r="L73" s="1" t="s">
        <v>29</v>
      </c>
      <c r="M73" s="12">
        <v>3</v>
      </c>
      <c r="N73" s="12">
        <v>69</v>
      </c>
      <c r="O73" s="12">
        <v>2</v>
      </c>
      <c r="P73" s="14"/>
      <c r="Q73" s="14"/>
      <c r="R73" s="12" t="s">
        <v>30</v>
      </c>
      <c r="S73" s="12" t="s">
        <v>30</v>
      </c>
      <c r="T73" s="12" t="s">
        <v>33</v>
      </c>
      <c r="U73" s="12" t="s">
        <v>762</v>
      </c>
      <c r="V73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73" s="12" t="s">
        <v>762</v>
      </c>
      <c r="X73" s="12" t="s">
        <v>762</v>
      </c>
      <c r="Y73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73" s="12" t="s">
        <v>762</v>
      </c>
      <c r="AA73" s="12" t="s">
        <v>762</v>
      </c>
      <c r="AB73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73" s="12" t="s">
        <v>762</v>
      </c>
      <c r="AD73" s="12" t="s">
        <v>762</v>
      </c>
      <c r="AE73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73" s="12" t="s">
        <v>762</v>
      </c>
      <c r="AG73" s="12" t="s">
        <v>762</v>
      </c>
      <c r="AH73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73" s="12" t="s">
        <v>762</v>
      </c>
      <c r="AJ73" s="12" t="s">
        <v>762</v>
      </c>
      <c r="AK73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73" s="12" t="s">
        <v>762</v>
      </c>
      <c r="AM73" s="12"/>
      <c r="AN73" s="12"/>
      <c r="AO73" s="12"/>
      <c r="AP73" s="12" t="s">
        <v>379</v>
      </c>
      <c r="AQ73" s="12" t="s">
        <v>379</v>
      </c>
      <c r="AR73" s="12"/>
      <c r="AS73" s="12"/>
      <c r="AT73" s="12"/>
      <c r="AU73" s="13">
        <v>43538</v>
      </c>
      <c r="AV73" s="12"/>
    </row>
    <row r="74" spans="1:48" ht="18" customHeight="1" x14ac:dyDescent="0.3">
      <c r="A74" s="12" t="s">
        <v>875</v>
      </c>
      <c r="B74" s="12" t="str">
        <f>IF(NOT(Flex[Parent WO]=""), HYPERLINK("http://ecow.ninja/maximo.html?p=" &amp;Flex[Parent WO],Flex[Parent WO]),"")</f>
        <v>K776232</v>
      </c>
      <c r="C74" s="12" t="s">
        <v>876</v>
      </c>
      <c r="D74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TK865798</v>
      </c>
      <c r="E74" s="12" t="s">
        <v>877</v>
      </c>
      <c r="F74" s="12" t="s">
        <v>878</v>
      </c>
      <c r="G74" s="13">
        <v>43540</v>
      </c>
      <c r="H74" s="13">
        <v>43541</v>
      </c>
      <c r="I74" s="12"/>
      <c r="J74" s="13">
        <v>43540</v>
      </c>
      <c r="K74" s="12" t="s">
        <v>379</v>
      </c>
      <c r="L74" s="1" t="s">
        <v>34</v>
      </c>
      <c r="M74" s="12">
        <v>3</v>
      </c>
      <c r="N74" s="12">
        <v>54</v>
      </c>
      <c r="O74" s="12">
        <v>2</v>
      </c>
      <c r="P74" s="14"/>
      <c r="Q74" s="14"/>
      <c r="R74" s="12" t="s">
        <v>30</v>
      </c>
      <c r="S74" s="12" t="s">
        <v>30</v>
      </c>
      <c r="T74" s="12" t="s">
        <v>44</v>
      </c>
      <c r="U74" s="12" t="s">
        <v>762</v>
      </c>
      <c r="V74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74" s="12" t="s">
        <v>762</v>
      </c>
      <c r="X74" s="12" t="s">
        <v>762</v>
      </c>
      <c r="Y74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74" s="12" t="s">
        <v>762</v>
      </c>
      <c r="AA74" s="12" t="s">
        <v>762</v>
      </c>
      <c r="AB74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74" s="12" t="s">
        <v>762</v>
      </c>
      <c r="AD74" s="12" t="s">
        <v>762</v>
      </c>
      <c r="AE74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74" s="12" t="s">
        <v>762</v>
      </c>
      <c r="AG74" s="12" t="s">
        <v>762</v>
      </c>
      <c r="AH74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74" s="12" t="s">
        <v>762</v>
      </c>
      <c r="AJ74" s="12" t="s">
        <v>762</v>
      </c>
      <c r="AK74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74" s="12" t="s">
        <v>762</v>
      </c>
      <c r="AM74" s="12"/>
      <c r="AN74" s="12"/>
      <c r="AO74" s="12" t="s">
        <v>38</v>
      </c>
      <c r="AP74" s="12" t="s">
        <v>379</v>
      </c>
      <c r="AQ74" s="12"/>
      <c r="AR74" s="12"/>
      <c r="AS74" s="12"/>
      <c r="AT74" s="12"/>
      <c r="AU74" s="13">
        <v>43538</v>
      </c>
      <c r="AV74" s="12"/>
    </row>
    <row r="75" spans="1:48" ht="18" customHeight="1" x14ac:dyDescent="0.3">
      <c r="A75" s="12" t="s">
        <v>555</v>
      </c>
      <c r="B75" s="12" t="str">
        <f>IF(NOT(Flex[Parent WO]=""), HYPERLINK("http://ecow.ninja/maximo.html?p=" &amp;Flex[Parent WO],Flex[Parent WO]),"")</f>
        <v>K769880</v>
      </c>
      <c r="C75" s="12" t="s">
        <v>556</v>
      </c>
      <c r="D75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TK860817</v>
      </c>
      <c r="E75" s="12" t="s">
        <v>557</v>
      </c>
      <c r="F75" s="12" t="s">
        <v>558</v>
      </c>
      <c r="G75" s="13">
        <v>43543</v>
      </c>
      <c r="H75" s="13">
        <v>43543</v>
      </c>
      <c r="I75" s="12"/>
      <c r="J75" s="13">
        <v>43515</v>
      </c>
      <c r="K75" s="12" t="s">
        <v>379</v>
      </c>
      <c r="L75" s="1" t="s">
        <v>34</v>
      </c>
      <c r="M75" s="12">
        <v>4</v>
      </c>
      <c r="N75" s="12">
        <v>46</v>
      </c>
      <c r="O75" s="12">
        <v>3</v>
      </c>
      <c r="P75" s="14"/>
      <c r="Q75" s="14"/>
      <c r="R75" s="12" t="s">
        <v>30</v>
      </c>
      <c r="S75" s="12" t="s">
        <v>30</v>
      </c>
      <c r="T75" s="12" t="s">
        <v>33</v>
      </c>
      <c r="U75" s="12" t="s">
        <v>762</v>
      </c>
      <c r="V75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75" s="12" t="s">
        <v>762</v>
      </c>
      <c r="X75" s="12" t="s">
        <v>762</v>
      </c>
      <c r="Y75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75" s="12" t="s">
        <v>762</v>
      </c>
      <c r="AA75" s="12" t="s">
        <v>762</v>
      </c>
      <c r="AB75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75" s="12" t="s">
        <v>762</v>
      </c>
      <c r="AD75" s="12" t="s">
        <v>762</v>
      </c>
      <c r="AE75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75" s="12" t="s">
        <v>762</v>
      </c>
      <c r="AG75" s="12" t="s">
        <v>762</v>
      </c>
      <c r="AH75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75" s="12" t="s">
        <v>762</v>
      </c>
      <c r="AJ75" s="12" t="s">
        <v>762</v>
      </c>
      <c r="AK75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75" s="12" t="s">
        <v>762</v>
      </c>
      <c r="AM75" s="12"/>
      <c r="AN75" s="12"/>
      <c r="AO75" s="12"/>
      <c r="AP75" s="12" t="s">
        <v>379</v>
      </c>
      <c r="AQ75" s="12"/>
      <c r="AR75" s="12"/>
      <c r="AS75" s="12"/>
      <c r="AT75" s="12"/>
      <c r="AU75" s="13">
        <v>43538</v>
      </c>
      <c r="AV75" s="12"/>
    </row>
    <row r="76" spans="1:48" ht="18" customHeight="1" x14ac:dyDescent="0.3">
      <c r="A76" s="12" t="s">
        <v>559</v>
      </c>
      <c r="B76" s="12" t="str">
        <f>IF(NOT(Flex[Parent WO]=""), HYPERLINK("http://ecow.ninja/maximo.html?p=" &amp;Flex[Parent WO],Flex[Parent WO]),"")</f>
        <v>K769407</v>
      </c>
      <c r="C76" s="12" t="s">
        <v>560</v>
      </c>
      <c r="D76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TK860492</v>
      </c>
      <c r="E76" s="12" t="s">
        <v>561</v>
      </c>
      <c r="F76" s="12" t="s">
        <v>562</v>
      </c>
      <c r="G76" s="13">
        <v>43544</v>
      </c>
      <c r="H76" s="13">
        <v>43544</v>
      </c>
      <c r="I76" s="12"/>
      <c r="J76" s="13">
        <v>43554</v>
      </c>
      <c r="K76" s="12" t="s">
        <v>379</v>
      </c>
      <c r="L76" s="1" t="s">
        <v>29</v>
      </c>
      <c r="M76" s="12">
        <v>3</v>
      </c>
      <c r="N76" s="12">
        <v>12</v>
      </c>
      <c r="O76" s="12">
        <v>3</v>
      </c>
      <c r="P76" s="14"/>
      <c r="Q76" s="14"/>
      <c r="R76" s="12" t="s">
        <v>30</v>
      </c>
      <c r="S76" s="12" t="s">
        <v>30</v>
      </c>
      <c r="T76" s="12" t="s">
        <v>33</v>
      </c>
      <c r="U76" s="12" t="s">
        <v>762</v>
      </c>
      <c r="V76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76" s="12" t="s">
        <v>762</v>
      </c>
      <c r="X76" s="12" t="s">
        <v>762</v>
      </c>
      <c r="Y76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76" s="12" t="s">
        <v>762</v>
      </c>
      <c r="AA76" s="12" t="s">
        <v>762</v>
      </c>
      <c r="AB76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76" s="12" t="s">
        <v>762</v>
      </c>
      <c r="AD76" s="12" t="s">
        <v>762</v>
      </c>
      <c r="AE76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76" s="12" t="s">
        <v>762</v>
      </c>
      <c r="AG76" s="12" t="s">
        <v>762</v>
      </c>
      <c r="AH76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76" s="12" t="s">
        <v>762</v>
      </c>
      <c r="AJ76" s="12" t="s">
        <v>762</v>
      </c>
      <c r="AK76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76" s="12" t="s">
        <v>762</v>
      </c>
      <c r="AM76" s="12"/>
      <c r="AN76" s="12"/>
      <c r="AO76" s="12"/>
      <c r="AP76" s="12" t="s">
        <v>379</v>
      </c>
      <c r="AQ76" s="12"/>
      <c r="AR76" s="12"/>
      <c r="AS76" s="12"/>
      <c r="AT76" s="12"/>
      <c r="AU76" s="13">
        <v>43538</v>
      </c>
      <c r="AV76" s="12"/>
    </row>
    <row r="77" spans="1:48" ht="18" customHeight="1" x14ac:dyDescent="0.3">
      <c r="A77" s="12"/>
      <c r="B77" s="12" t="str">
        <f>IF(NOT(Flex[Parent WO]=""), HYPERLINK("http://ecow.ninja/maximo.html?p=" &amp;Flex[Parent WO],Flex[Parent WO]),"")</f>
        <v/>
      </c>
      <c r="C77" s="12" t="s">
        <v>600</v>
      </c>
      <c r="D77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3/21/2019</v>
      </c>
      <c r="E77" s="12"/>
      <c r="F77" s="12"/>
      <c r="G77" s="13"/>
      <c r="H77" s="13"/>
      <c r="I77" s="12"/>
      <c r="J77" s="13"/>
      <c r="K77" s="12"/>
      <c r="M77" s="12"/>
      <c r="N77" s="12"/>
      <c r="O77" s="12"/>
      <c r="P77" s="14"/>
      <c r="Q77" s="14"/>
      <c r="R77" s="12"/>
      <c r="S77" s="12"/>
      <c r="T77" s="12"/>
      <c r="U77" s="12" t="s">
        <v>762</v>
      </c>
      <c r="V77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77" s="12" t="s">
        <v>762</v>
      </c>
      <c r="X77" s="12" t="s">
        <v>762</v>
      </c>
      <c r="Y77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77" s="12" t="s">
        <v>762</v>
      </c>
      <c r="AA77" s="12" t="s">
        <v>762</v>
      </c>
      <c r="AB77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77" s="12" t="s">
        <v>762</v>
      </c>
      <c r="AD77" s="12" t="s">
        <v>762</v>
      </c>
      <c r="AE77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77" s="12" t="s">
        <v>762</v>
      </c>
      <c r="AG77" s="12" t="s">
        <v>762</v>
      </c>
      <c r="AH77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77" s="12" t="s">
        <v>762</v>
      </c>
      <c r="AJ77" s="12" t="s">
        <v>762</v>
      </c>
      <c r="AK77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77" s="12" t="s">
        <v>762</v>
      </c>
      <c r="AM77" s="12"/>
      <c r="AN77" s="12"/>
      <c r="AO77" s="12"/>
      <c r="AP77" s="12"/>
      <c r="AQ77" s="12"/>
      <c r="AR77" s="12"/>
      <c r="AS77" s="12"/>
      <c r="AT77" s="12"/>
      <c r="AU77" s="13">
        <v>43545</v>
      </c>
      <c r="AV77" s="12"/>
    </row>
    <row r="78" spans="1:48" ht="18" customHeight="1" x14ac:dyDescent="0.3">
      <c r="A78" s="12" t="s">
        <v>601</v>
      </c>
      <c r="B78" s="12" t="str">
        <f>IF(NOT(Flex[Parent WO]=""), HYPERLINK("http://ecow.ninja/maximo.html?p=" &amp;Flex[Parent WO],Flex[Parent WO]),"")</f>
        <v>K773142</v>
      </c>
      <c r="C78" s="12" t="s">
        <v>602</v>
      </c>
      <c r="D78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TK863263</v>
      </c>
      <c r="E78" s="12" t="s">
        <v>603</v>
      </c>
      <c r="F78" s="12" t="s">
        <v>604</v>
      </c>
      <c r="G78" s="13">
        <v>43545</v>
      </c>
      <c r="H78" s="13">
        <v>43546</v>
      </c>
      <c r="I78" s="12"/>
      <c r="J78" s="13">
        <v>43631</v>
      </c>
      <c r="K78" s="12" t="s">
        <v>379</v>
      </c>
      <c r="L78" s="1" t="s">
        <v>34</v>
      </c>
      <c r="M78" s="12">
        <v>3</v>
      </c>
      <c r="N78" s="12">
        <v>54</v>
      </c>
      <c r="O78" s="12">
        <v>2</v>
      </c>
      <c r="P78" s="14"/>
      <c r="Q78" s="14"/>
      <c r="R78" s="12" t="s">
        <v>30</v>
      </c>
      <c r="S78" s="12" t="s">
        <v>30</v>
      </c>
      <c r="T78" s="12" t="s">
        <v>33</v>
      </c>
      <c r="U78" s="12" t="s">
        <v>762</v>
      </c>
      <c r="V78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78" s="12" t="s">
        <v>762</v>
      </c>
      <c r="X78" s="12" t="s">
        <v>762</v>
      </c>
      <c r="Y78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78" s="12" t="s">
        <v>762</v>
      </c>
      <c r="AA78" s="12" t="s">
        <v>762</v>
      </c>
      <c r="AB78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78" s="12" t="s">
        <v>762</v>
      </c>
      <c r="AD78" s="12" t="s">
        <v>762</v>
      </c>
      <c r="AE78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78" s="12" t="s">
        <v>762</v>
      </c>
      <c r="AG78" s="12" t="s">
        <v>762</v>
      </c>
      <c r="AH78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78" s="12" t="s">
        <v>762</v>
      </c>
      <c r="AJ78" s="12" t="s">
        <v>762</v>
      </c>
      <c r="AK78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78" s="12" t="s">
        <v>762</v>
      </c>
      <c r="AM78" s="12"/>
      <c r="AN78" s="12"/>
      <c r="AO78" s="12" t="s">
        <v>41</v>
      </c>
      <c r="AP78" s="12" t="s">
        <v>379</v>
      </c>
      <c r="AQ78" s="12" t="s">
        <v>379</v>
      </c>
      <c r="AR78" s="12"/>
      <c r="AS78" s="12"/>
      <c r="AT78" s="12"/>
      <c r="AU78" s="13">
        <v>43545</v>
      </c>
      <c r="AV78" s="12"/>
    </row>
    <row r="79" spans="1:48" ht="18" customHeight="1" x14ac:dyDescent="0.3">
      <c r="A79" s="12" t="s">
        <v>605</v>
      </c>
      <c r="B79" s="12" t="str">
        <f>IF(NOT(Flex[Parent WO]=""), HYPERLINK("http://ecow.ninja/maximo.html?p=" &amp;Flex[Parent WO],Flex[Parent WO]),"")</f>
        <v>K623940</v>
      </c>
      <c r="C79" s="12" t="s">
        <v>606</v>
      </c>
      <c r="D79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TK860485</v>
      </c>
      <c r="E79" s="12" t="s">
        <v>607</v>
      </c>
      <c r="F79" s="12" t="s">
        <v>562</v>
      </c>
      <c r="G79" s="13">
        <v>43545</v>
      </c>
      <c r="H79" s="13">
        <v>43545</v>
      </c>
      <c r="I79" s="12"/>
      <c r="J79" s="13">
        <v>43554</v>
      </c>
      <c r="K79" s="12" t="s">
        <v>379</v>
      </c>
      <c r="L79" s="1" t="s">
        <v>29</v>
      </c>
      <c r="M79" s="12">
        <v>3</v>
      </c>
      <c r="N79" s="12">
        <v>34.5</v>
      </c>
      <c r="O79" s="12">
        <v>3</v>
      </c>
      <c r="P79" s="14"/>
      <c r="Q79" s="14"/>
      <c r="R79" s="12" t="s">
        <v>42</v>
      </c>
      <c r="S79" s="12" t="s">
        <v>30</v>
      </c>
      <c r="T79" s="12" t="s">
        <v>33</v>
      </c>
      <c r="U79" s="12" t="s">
        <v>762</v>
      </c>
      <c r="V79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79" s="12" t="s">
        <v>762</v>
      </c>
      <c r="X79" s="12" t="s">
        <v>762</v>
      </c>
      <c r="Y79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79" s="12" t="s">
        <v>762</v>
      </c>
      <c r="AA79" s="12" t="s">
        <v>762</v>
      </c>
      <c r="AB79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79" s="12" t="s">
        <v>762</v>
      </c>
      <c r="AD79" s="12" t="s">
        <v>762</v>
      </c>
      <c r="AE79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79" s="12" t="s">
        <v>762</v>
      </c>
      <c r="AG79" s="12" t="s">
        <v>762</v>
      </c>
      <c r="AH79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79" s="12" t="s">
        <v>762</v>
      </c>
      <c r="AJ79" s="12" t="s">
        <v>762</v>
      </c>
      <c r="AK79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79" s="12" t="s">
        <v>762</v>
      </c>
      <c r="AM79" s="12"/>
      <c r="AN79" s="12"/>
      <c r="AO79" s="12" t="s">
        <v>41</v>
      </c>
      <c r="AP79" s="12" t="s">
        <v>379</v>
      </c>
      <c r="AQ79" s="12"/>
      <c r="AR79" s="12"/>
      <c r="AS79" s="12"/>
      <c r="AT79" s="12"/>
      <c r="AU79" s="13">
        <v>43545</v>
      </c>
      <c r="AV79" s="12"/>
    </row>
    <row r="80" spans="1:48" ht="18" customHeight="1" x14ac:dyDescent="0.3">
      <c r="A80" s="12" t="s">
        <v>608</v>
      </c>
      <c r="B80" s="12" t="str">
        <f>IF(NOT(Flex[Parent WO]=""), HYPERLINK("http://ecow.ninja/maximo.html?p=" &amp;Flex[Parent WO],Flex[Parent WO]),"")</f>
        <v>K769410</v>
      </c>
      <c r="C80" s="12" t="s">
        <v>609</v>
      </c>
      <c r="D80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TK860495</v>
      </c>
      <c r="E80" s="12" t="s">
        <v>610</v>
      </c>
      <c r="F80" s="12" t="s">
        <v>562</v>
      </c>
      <c r="G80" s="13">
        <v>43546</v>
      </c>
      <c r="H80" s="13">
        <v>43546</v>
      </c>
      <c r="I80" s="12"/>
      <c r="J80" s="13">
        <v>43554</v>
      </c>
      <c r="K80" s="12" t="s">
        <v>379</v>
      </c>
      <c r="L80" s="1" t="s">
        <v>29</v>
      </c>
      <c r="M80" s="12">
        <v>3</v>
      </c>
      <c r="N80" s="12">
        <v>12</v>
      </c>
      <c r="O80" s="12">
        <v>3</v>
      </c>
      <c r="P80" s="14"/>
      <c r="Q80" s="14"/>
      <c r="R80" s="12" t="s">
        <v>30</v>
      </c>
      <c r="S80" s="12" t="s">
        <v>30</v>
      </c>
      <c r="T80" s="12" t="s">
        <v>33</v>
      </c>
      <c r="U80" s="12" t="s">
        <v>762</v>
      </c>
      <c r="V80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80" s="12" t="s">
        <v>762</v>
      </c>
      <c r="X80" s="12" t="s">
        <v>762</v>
      </c>
      <c r="Y80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80" s="12" t="s">
        <v>762</v>
      </c>
      <c r="AA80" s="12" t="s">
        <v>762</v>
      </c>
      <c r="AB80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80" s="12" t="s">
        <v>762</v>
      </c>
      <c r="AD80" s="12" t="s">
        <v>762</v>
      </c>
      <c r="AE80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80" s="12" t="s">
        <v>762</v>
      </c>
      <c r="AG80" s="12" t="s">
        <v>762</v>
      </c>
      <c r="AH80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80" s="12" t="s">
        <v>762</v>
      </c>
      <c r="AJ80" s="12" t="s">
        <v>762</v>
      </c>
      <c r="AK80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80" s="12" t="s">
        <v>762</v>
      </c>
      <c r="AM80" s="12"/>
      <c r="AN80" s="12"/>
      <c r="AO80" s="12"/>
      <c r="AP80" s="12" t="s">
        <v>379</v>
      </c>
      <c r="AQ80" s="12"/>
      <c r="AR80" s="12"/>
      <c r="AS80" s="12"/>
      <c r="AT80" s="12"/>
      <c r="AU80" s="13">
        <v>43545</v>
      </c>
      <c r="AV80" s="12"/>
    </row>
    <row r="81" spans="1:48" ht="18" customHeight="1" x14ac:dyDescent="0.3">
      <c r="A81" s="12" t="s">
        <v>611</v>
      </c>
      <c r="B81" s="12" t="str">
        <f>IF(NOT(Flex[Parent WO]=""), HYPERLINK("http://ecow.ninja/maximo.html?p=" &amp;Flex[Parent WO],Flex[Parent WO]),"")</f>
        <v>K351008</v>
      </c>
      <c r="C81" s="12" t="s">
        <v>612</v>
      </c>
      <c r="D81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TK660892</v>
      </c>
      <c r="E81" s="12" t="s">
        <v>613</v>
      </c>
      <c r="F81" s="12" t="s">
        <v>614</v>
      </c>
      <c r="G81" s="13">
        <v>43547</v>
      </c>
      <c r="H81" s="13">
        <v>43549</v>
      </c>
      <c r="I81" s="12"/>
      <c r="J81" s="13">
        <v>43615</v>
      </c>
      <c r="K81" s="12" t="s">
        <v>379</v>
      </c>
      <c r="L81" s="1" t="s">
        <v>29</v>
      </c>
      <c r="M81" s="12">
        <v>5</v>
      </c>
      <c r="N81" s="12">
        <v>150</v>
      </c>
      <c r="O81" s="12">
        <v>3</v>
      </c>
      <c r="P81" s="14"/>
      <c r="Q81" s="14"/>
      <c r="R81" s="12" t="s">
        <v>30</v>
      </c>
      <c r="S81" s="12" t="s">
        <v>30</v>
      </c>
      <c r="T81" s="12" t="s">
        <v>31</v>
      </c>
      <c r="U81" s="12" t="s">
        <v>989</v>
      </c>
      <c r="V81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256313 Verified</v>
      </c>
      <c r="W81" s="12" t="s">
        <v>785</v>
      </c>
      <c r="X81" s="12" t="s">
        <v>762</v>
      </c>
      <c r="Y81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81" s="12" t="s">
        <v>762</v>
      </c>
      <c r="AA81" s="12" t="s">
        <v>762</v>
      </c>
      <c r="AB81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81" s="12" t="s">
        <v>762</v>
      </c>
      <c r="AD81" s="12" t="s">
        <v>762</v>
      </c>
      <c r="AE81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81" s="12" t="s">
        <v>762</v>
      </c>
      <c r="AG81" s="12" t="s">
        <v>762</v>
      </c>
      <c r="AH81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81" s="12" t="s">
        <v>762</v>
      </c>
      <c r="AJ81" s="12" t="s">
        <v>762</v>
      </c>
      <c r="AK81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81" s="12" t="s">
        <v>762</v>
      </c>
      <c r="AM81" s="12"/>
      <c r="AN81" s="12"/>
      <c r="AO81" s="12" t="s">
        <v>41</v>
      </c>
      <c r="AP81" s="12" t="s">
        <v>379</v>
      </c>
      <c r="AQ81" s="12" t="s">
        <v>379</v>
      </c>
      <c r="AR81" s="12"/>
      <c r="AS81" s="12"/>
      <c r="AT81" s="12"/>
      <c r="AU81" s="13">
        <v>43545</v>
      </c>
      <c r="AV81" s="12"/>
    </row>
    <row r="82" spans="1:48" ht="18" customHeight="1" x14ac:dyDescent="0.3">
      <c r="A82" s="12" t="s">
        <v>615</v>
      </c>
      <c r="B82" s="12" t="str">
        <f>IF(NOT(Flex[Parent WO]=""), HYPERLINK("http://ecow.ninja/maximo.html?p=" &amp;Flex[Parent WO],Flex[Parent WO]),"")</f>
        <v>K725089</v>
      </c>
      <c r="C82" s="12" t="s">
        <v>616</v>
      </c>
      <c r="D82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TK841815</v>
      </c>
      <c r="E82" s="12" t="s">
        <v>617</v>
      </c>
      <c r="F82" s="12" t="s">
        <v>618</v>
      </c>
      <c r="G82" s="13">
        <v>43550</v>
      </c>
      <c r="H82" s="13">
        <v>43551</v>
      </c>
      <c r="I82" s="12" t="s">
        <v>59</v>
      </c>
      <c r="J82" s="13">
        <v>43555</v>
      </c>
      <c r="K82" s="12" t="s">
        <v>379</v>
      </c>
      <c r="L82" s="1" t="s">
        <v>29</v>
      </c>
      <c r="M82" s="12">
        <v>3</v>
      </c>
      <c r="N82" s="12">
        <v>48</v>
      </c>
      <c r="O82" s="12">
        <v>2</v>
      </c>
      <c r="P82" s="14"/>
      <c r="Q82" s="14"/>
      <c r="R82" s="12" t="s">
        <v>30</v>
      </c>
      <c r="S82" s="12" t="s">
        <v>30</v>
      </c>
      <c r="T82" s="12" t="s">
        <v>33</v>
      </c>
      <c r="U82" s="12" t="s">
        <v>762</v>
      </c>
      <c r="V82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82" s="12" t="s">
        <v>762</v>
      </c>
      <c r="X82" s="12" t="s">
        <v>762</v>
      </c>
      <c r="Y82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82" s="12" t="s">
        <v>762</v>
      </c>
      <c r="AA82" s="12" t="s">
        <v>762</v>
      </c>
      <c r="AB82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82" s="12" t="s">
        <v>762</v>
      </c>
      <c r="AD82" s="12" t="s">
        <v>762</v>
      </c>
      <c r="AE82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82" s="12" t="s">
        <v>762</v>
      </c>
      <c r="AG82" s="12" t="s">
        <v>762</v>
      </c>
      <c r="AH82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82" s="12" t="s">
        <v>762</v>
      </c>
      <c r="AJ82" s="12" t="s">
        <v>762</v>
      </c>
      <c r="AK82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82" s="12" t="s">
        <v>762</v>
      </c>
      <c r="AM82" s="12"/>
      <c r="AN82" s="12"/>
      <c r="AO82" s="12"/>
      <c r="AP82" s="12" t="s">
        <v>379</v>
      </c>
      <c r="AQ82" s="12"/>
      <c r="AR82" s="12"/>
      <c r="AS82" s="12"/>
      <c r="AT82" s="12"/>
      <c r="AU82" s="13">
        <v>43545</v>
      </c>
      <c r="AV82" s="12"/>
    </row>
    <row r="83" spans="1:48" ht="18" customHeight="1" x14ac:dyDescent="0.3">
      <c r="A83" s="12"/>
      <c r="B83" s="12" t="str">
        <f>IF(NOT(Flex[Parent WO]=""), HYPERLINK("http://ecow.ninja/maximo.html?p=" &amp;Flex[Parent WO],Flex[Parent WO]),"")</f>
        <v/>
      </c>
      <c r="C83" s="12" t="s">
        <v>619</v>
      </c>
      <c r="D83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4/4/2019</v>
      </c>
      <c r="E83" s="12"/>
      <c r="F83" s="12"/>
      <c r="G83" s="13"/>
      <c r="H83" s="13"/>
      <c r="I83" s="12"/>
      <c r="J83" s="13"/>
      <c r="K83" s="12"/>
      <c r="M83" s="12"/>
      <c r="N83" s="12"/>
      <c r="O83" s="12"/>
      <c r="P83" s="14"/>
      <c r="Q83" s="14"/>
      <c r="R83" s="12"/>
      <c r="S83" s="12"/>
      <c r="T83" s="12"/>
      <c r="U83" s="12" t="s">
        <v>762</v>
      </c>
      <c r="V83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83" s="12" t="s">
        <v>762</v>
      </c>
      <c r="X83" s="12" t="s">
        <v>762</v>
      </c>
      <c r="Y83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83" s="12" t="s">
        <v>762</v>
      </c>
      <c r="AA83" s="12" t="s">
        <v>762</v>
      </c>
      <c r="AB83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83" s="12" t="s">
        <v>762</v>
      </c>
      <c r="AD83" s="12" t="s">
        <v>762</v>
      </c>
      <c r="AE83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83" s="12" t="s">
        <v>762</v>
      </c>
      <c r="AG83" s="12" t="s">
        <v>762</v>
      </c>
      <c r="AH83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83" s="12" t="s">
        <v>762</v>
      </c>
      <c r="AJ83" s="12" t="s">
        <v>762</v>
      </c>
      <c r="AK83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83" s="12" t="s">
        <v>762</v>
      </c>
      <c r="AM83" s="12"/>
      <c r="AN83" s="12"/>
      <c r="AO83" s="12"/>
      <c r="AP83" s="12"/>
      <c r="AQ83" s="12"/>
      <c r="AR83" s="12"/>
      <c r="AS83" s="12"/>
      <c r="AT83" s="12"/>
      <c r="AU83" s="13">
        <v>43559</v>
      </c>
      <c r="AV83" s="12"/>
    </row>
    <row r="84" spans="1:48" ht="18" customHeight="1" x14ac:dyDescent="0.3">
      <c r="A84" s="12" t="s">
        <v>620</v>
      </c>
      <c r="B84" s="12" t="str">
        <f>IF(NOT(Flex[Parent WO]=""), HYPERLINK("http://ecow.ninja/maximo.html?p=" &amp;Flex[Parent WO],Flex[Parent WO]),"")</f>
        <v>K726769</v>
      </c>
      <c r="C84" s="12" t="s">
        <v>621</v>
      </c>
      <c r="D84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TK823978</v>
      </c>
      <c r="E84" s="12" t="s">
        <v>622</v>
      </c>
      <c r="F84" s="12" t="s">
        <v>558</v>
      </c>
      <c r="G84" s="13">
        <v>43557</v>
      </c>
      <c r="H84" s="13">
        <v>43558</v>
      </c>
      <c r="I84" s="12"/>
      <c r="J84" s="13">
        <v>43631</v>
      </c>
      <c r="K84" s="12" t="s">
        <v>379</v>
      </c>
      <c r="L84" s="1" t="s">
        <v>34</v>
      </c>
      <c r="M84" s="12">
        <v>3</v>
      </c>
      <c r="N84" s="12">
        <v>69</v>
      </c>
      <c r="O84" s="12">
        <v>3</v>
      </c>
      <c r="P84" s="14"/>
      <c r="Q84" s="14"/>
      <c r="R84" s="12" t="s">
        <v>30</v>
      </c>
      <c r="S84" s="12" t="s">
        <v>30</v>
      </c>
      <c r="T84" s="12" t="s">
        <v>33</v>
      </c>
      <c r="U84" s="12" t="s">
        <v>762</v>
      </c>
      <c r="V84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84" s="12" t="s">
        <v>762</v>
      </c>
      <c r="X84" s="12" t="s">
        <v>762</v>
      </c>
      <c r="Y84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84" s="12" t="s">
        <v>762</v>
      </c>
      <c r="AA84" s="12" t="s">
        <v>762</v>
      </c>
      <c r="AB84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84" s="12" t="s">
        <v>762</v>
      </c>
      <c r="AD84" s="12" t="s">
        <v>762</v>
      </c>
      <c r="AE84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84" s="12" t="s">
        <v>762</v>
      </c>
      <c r="AG84" s="12" t="s">
        <v>762</v>
      </c>
      <c r="AH84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84" s="12" t="s">
        <v>762</v>
      </c>
      <c r="AJ84" s="12" t="s">
        <v>762</v>
      </c>
      <c r="AK84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84" s="12" t="s">
        <v>762</v>
      </c>
      <c r="AM84" s="12"/>
      <c r="AN84" s="12"/>
      <c r="AO84" s="12"/>
      <c r="AP84" s="12" t="s">
        <v>379</v>
      </c>
      <c r="AQ84" s="12"/>
      <c r="AR84" s="12"/>
      <c r="AS84" s="12"/>
      <c r="AT84" s="12"/>
      <c r="AU84" s="13">
        <v>43559</v>
      </c>
      <c r="AV84" s="12"/>
    </row>
    <row r="85" spans="1:48" ht="18" customHeight="1" x14ac:dyDescent="0.3">
      <c r="A85" s="12" t="s">
        <v>623</v>
      </c>
      <c r="B85" s="12" t="str">
        <f>IF(NOT(Flex[Parent WO]=""), HYPERLINK("http://ecow.ninja/maximo.html?p=" &amp;Flex[Parent WO],Flex[Parent WO]),"")</f>
        <v>K484183</v>
      </c>
      <c r="C85" s="12" t="s">
        <v>624</v>
      </c>
      <c r="D85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TK612642</v>
      </c>
      <c r="E85" s="12" t="s">
        <v>625</v>
      </c>
      <c r="F85" s="12" t="s">
        <v>626</v>
      </c>
      <c r="G85" s="13">
        <v>43561</v>
      </c>
      <c r="H85" s="13">
        <v>43561</v>
      </c>
      <c r="I85" s="12"/>
      <c r="J85" s="13">
        <v>43876</v>
      </c>
      <c r="K85" s="12" t="s">
        <v>379</v>
      </c>
      <c r="L85" s="1" t="s">
        <v>34</v>
      </c>
      <c r="M85" s="12">
        <v>4</v>
      </c>
      <c r="N85" s="12">
        <v>40</v>
      </c>
      <c r="O85" s="12">
        <v>3</v>
      </c>
      <c r="P85" s="14"/>
      <c r="Q85" s="14"/>
      <c r="R85" s="12" t="s">
        <v>30</v>
      </c>
      <c r="S85" s="12" t="s">
        <v>30</v>
      </c>
      <c r="T85" s="12" t="s">
        <v>31</v>
      </c>
      <c r="U85" s="12" t="s">
        <v>990</v>
      </c>
      <c r="V85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254701 Verified</v>
      </c>
      <c r="W85" s="12" t="s">
        <v>784</v>
      </c>
      <c r="X85" s="12" t="s">
        <v>762</v>
      </c>
      <c r="Y85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85" s="12" t="s">
        <v>762</v>
      </c>
      <c r="AA85" s="12" t="s">
        <v>762</v>
      </c>
      <c r="AB85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85" s="12" t="s">
        <v>762</v>
      </c>
      <c r="AD85" s="12" t="s">
        <v>762</v>
      </c>
      <c r="AE85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85" s="12" t="s">
        <v>762</v>
      </c>
      <c r="AG85" s="12" t="s">
        <v>762</v>
      </c>
      <c r="AH85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85" s="12" t="s">
        <v>762</v>
      </c>
      <c r="AJ85" s="12" t="s">
        <v>762</v>
      </c>
      <c r="AK85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85" s="12" t="s">
        <v>762</v>
      </c>
      <c r="AM85" s="12"/>
      <c r="AN85" s="12"/>
      <c r="AO85" s="12"/>
      <c r="AP85" s="12" t="s">
        <v>379</v>
      </c>
      <c r="AQ85" s="12" t="s">
        <v>379</v>
      </c>
      <c r="AR85" s="12"/>
      <c r="AS85" s="12"/>
      <c r="AT85" s="12"/>
      <c r="AU85" s="13">
        <v>43559</v>
      </c>
      <c r="AV85" s="12"/>
    </row>
    <row r="86" spans="1:48" ht="18" customHeight="1" x14ac:dyDescent="0.3">
      <c r="A86" s="12" t="s">
        <v>627</v>
      </c>
      <c r="B86" s="12" t="str">
        <f>IF(NOT(Flex[Parent WO]=""), HYPERLINK("http://ecow.ninja/maximo.html?p=" &amp;Flex[Parent WO],Flex[Parent WO]),"")</f>
        <v>K444694</v>
      </c>
      <c r="C86" s="12" t="s">
        <v>628</v>
      </c>
      <c r="D86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TK612624</v>
      </c>
      <c r="E86" s="12" t="s">
        <v>629</v>
      </c>
      <c r="F86" s="12" t="s">
        <v>630</v>
      </c>
      <c r="G86" s="13">
        <v>43562</v>
      </c>
      <c r="H86" s="13">
        <v>43562</v>
      </c>
      <c r="I86" s="12"/>
      <c r="J86" s="13">
        <v>43876</v>
      </c>
      <c r="K86" s="12" t="s">
        <v>379</v>
      </c>
      <c r="L86" s="1" t="s">
        <v>29</v>
      </c>
      <c r="M86" s="12">
        <v>4</v>
      </c>
      <c r="N86" s="12">
        <v>40</v>
      </c>
      <c r="O86" s="12">
        <v>3</v>
      </c>
      <c r="P86" s="14"/>
      <c r="Q86" s="14"/>
      <c r="R86" s="12" t="s">
        <v>30</v>
      </c>
      <c r="S86" s="12" t="s">
        <v>42</v>
      </c>
      <c r="T86" s="12" t="s">
        <v>31</v>
      </c>
      <c r="U86" s="12" t="s">
        <v>991</v>
      </c>
      <c r="V86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241133 Verified</v>
      </c>
      <c r="W86" s="12" t="s">
        <v>785</v>
      </c>
      <c r="X86" s="12" t="s">
        <v>990</v>
      </c>
      <c r="Y86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>254701 Verified</v>
      </c>
      <c r="Z86" s="12" t="s">
        <v>784</v>
      </c>
      <c r="AA86" s="12" t="s">
        <v>992</v>
      </c>
      <c r="AB86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>254707 Verified</v>
      </c>
      <c r="AC86" s="12" t="s">
        <v>784</v>
      </c>
      <c r="AD86" s="12" t="s">
        <v>993</v>
      </c>
      <c r="AE86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>264926 Verified</v>
      </c>
      <c r="AF86" s="12" t="s">
        <v>784</v>
      </c>
      <c r="AG86" s="12" t="s">
        <v>762</v>
      </c>
      <c r="AH86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86" s="12" t="s">
        <v>762</v>
      </c>
      <c r="AJ86" s="12" t="s">
        <v>762</v>
      </c>
      <c r="AK86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86" s="12" t="s">
        <v>762</v>
      </c>
      <c r="AM86" s="12" t="s">
        <v>38</v>
      </c>
      <c r="AN86" s="12" t="s">
        <v>38</v>
      </c>
      <c r="AO86" s="12" t="s">
        <v>32</v>
      </c>
      <c r="AP86" s="12" t="s">
        <v>379</v>
      </c>
      <c r="AQ86" s="12" t="s">
        <v>379</v>
      </c>
      <c r="AR86" s="12"/>
      <c r="AS86" s="12"/>
      <c r="AT86" s="12"/>
      <c r="AU86" s="13">
        <v>43559</v>
      </c>
      <c r="AV86" s="12"/>
    </row>
    <row r="87" spans="1:48" ht="18" customHeight="1" x14ac:dyDescent="0.3">
      <c r="A87" s="12" t="s">
        <v>636</v>
      </c>
      <c r="B87" s="12" t="str">
        <f>IF(NOT(Flex[Parent WO]=""), HYPERLINK("http://ecow.ninja/maximo.html?p=" &amp;Flex[Parent WO],Flex[Parent WO]),"")</f>
        <v>K727564</v>
      </c>
      <c r="C87" s="12" t="s">
        <v>637</v>
      </c>
      <c r="D87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TK824647</v>
      </c>
      <c r="E87" s="12" t="s">
        <v>638</v>
      </c>
      <c r="F87" s="12" t="s">
        <v>639</v>
      </c>
      <c r="G87" s="13">
        <v>43563</v>
      </c>
      <c r="H87" s="13">
        <v>43563</v>
      </c>
      <c r="I87" s="12"/>
      <c r="J87" s="13">
        <v>43657</v>
      </c>
      <c r="K87" s="12" t="s">
        <v>379</v>
      </c>
      <c r="L87" s="1" t="s">
        <v>34</v>
      </c>
      <c r="M87" s="12">
        <v>3</v>
      </c>
      <c r="N87" s="12">
        <v>24</v>
      </c>
      <c r="O87" s="12">
        <v>2</v>
      </c>
      <c r="P87" s="14"/>
      <c r="Q87" s="14"/>
      <c r="R87" s="12" t="s">
        <v>30</v>
      </c>
      <c r="S87" s="12" t="s">
        <v>30</v>
      </c>
      <c r="T87" s="12" t="s">
        <v>33</v>
      </c>
      <c r="U87" s="12" t="s">
        <v>994</v>
      </c>
      <c r="V87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264147 RTV</v>
      </c>
      <c r="W87" s="12" t="s">
        <v>786</v>
      </c>
      <c r="X87" s="12" t="s">
        <v>762</v>
      </c>
      <c r="Y87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87" s="12" t="s">
        <v>762</v>
      </c>
      <c r="AA87" s="12" t="s">
        <v>762</v>
      </c>
      <c r="AB87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87" s="12" t="s">
        <v>762</v>
      </c>
      <c r="AD87" s="12" t="s">
        <v>762</v>
      </c>
      <c r="AE87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87" s="12" t="s">
        <v>762</v>
      </c>
      <c r="AG87" s="12" t="s">
        <v>762</v>
      </c>
      <c r="AH87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87" s="12" t="s">
        <v>762</v>
      </c>
      <c r="AJ87" s="12" t="s">
        <v>762</v>
      </c>
      <c r="AK87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87" s="12" t="s">
        <v>762</v>
      </c>
      <c r="AM87" s="12"/>
      <c r="AN87" s="12"/>
      <c r="AO87" s="12"/>
      <c r="AP87" s="12" t="s">
        <v>379</v>
      </c>
      <c r="AQ87" s="12"/>
      <c r="AR87" s="12"/>
      <c r="AS87" s="12"/>
      <c r="AT87" s="12"/>
      <c r="AU87" s="13">
        <v>43559</v>
      </c>
      <c r="AV87" s="12"/>
    </row>
    <row r="88" spans="1:48" ht="18" customHeight="1" x14ac:dyDescent="0.3">
      <c r="A88" s="12" t="s">
        <v>631</v>
      </c>
      <c r="B88" s="12" t="str">
        <f>IF(NOT(Flex[Parent WO]=""), HYPERLINK("http://ecow.ninja/maximo.html?p=" &amp;Flex[Parent WO],Flex[Parent WO]),"")</f>
        <v>K540110</v>
      </c>
      <c r="C88" s="12" t="s">
        <v>632</v>
      </c>
      <c r="D88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TK661818</v>
      </c>
      <c r="E88" s="12" t="s">
        <v>633</v>
      </c>
      <c r="F88" s="12" t="s">
        <v>634</v>
      </c>
      <c r="G88" s="13">
        <v>43563</v>
      </c>
      <c r="H88" s="13">
        <v>43565</v>
      </c>
      <c r="I88" s="12" t="s">
        <v>635</v>
      </c>
      <c r="J88" s="13">
        <v>43830</v>
      </c>
      <c r="K88" s="12" t="s">
        <v>379</v>
      </c>
      <c r="L88" s="1" t="s">
        <v>34</v>
      </c>
      <c r="M88" s="12">
        <v>5</v>
      </c>
      <c r="N88" s="12">
        <v>150</v>
      </c>
      <c r="O88" s="12">
        <v>2</v>
      </c>
      <c r="P88" s="14"/>
      <c r="Q88" s="14"/>
      <c r="R88" s="12" t="s">
        <v>30</v>
      </c>
      <c r="S88" s="12" t="s">
        <v>30</v>
      </c>
      <c r="T88" s="12" t="s">
        <v>31</v>
      </c>
      <c r="U88" s="12" t="s">
        <v>995</v>
      </c>
      <c r="V88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271580 Verified</v>
      </c>
      <c r="W88" s="12" t="s">
        <v>785</v>
      </c>
      <c r="X88" s="12" t="s">
        <v>762</v>
      </c>
      <c r="Y88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88" s="12" t="s">
        <v>762</v>
      </c>
      <c r="AA88" s="12" t="s">
        <v>762</v>
      </c>
      <c r="AB88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88" s="12" t="s">
        <v>762</v>
      </c>
      <c r="AD88" s="12" t="s">
        <v>762</v>
      </c>
      <c r="AE88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88" s="12" t="s">
        <v>762</v>
      </c>
      <c r="AG88" s="12" t="s">
        <v>762</v>
      </c>
      <c r="AH88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88" s="12" t="s">
        <v>762</v>
      </c>
      <c r="AJ88" s="12" t="s">
        <v>762</v>
      </c>
      <c r="AK88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88" s="12" t="s">
        <v>762</v>
      </c>
      <c r="AM88" s="12"/>
      <c r="AN88" s="12"/>
      <c r="AO88" s="12" t="s">
        <v>32</v>
      </c>
      <c r="AP88" s="12" t="s">
        <v>379</v>
      </c>
      <c r="AQ88" s="12" t="s">
        <v>379</v>
      </c>
      <c r="AR88" s="12"/>
      <c r="AS88" s="12"/>
      <c r="AT88" s="12"/>
      <c r="AU88" s="13">
        <v>43559</v>
      </c>
      <c r="AV88" s="12"/>
    </row>
    <row r="89" spans="1:48" ht="18" customHeight="1" x14ac:dyDescent="0.3">
      <c r="A89" s="12"/>
      <c r="B89" s="12" t="str">
        <f>IF(NOT(Flex[Parent WO]=""), HYPERLINK("http://ecow.ninja/maximo.html?p=" &amp;Flex[Parent WO],Flex[Parent WO]),"")</f>
        <v/>
      </c>
      <c r="C89" s="12"/>
      <c r="D89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/>
      </c>
      <c r="E89" s="12"/>
      <c r="F89" s="12"/>
      <c r="G89" s="13"/>
      <c r="H89" s="13"/>
      <c r="I89" s="12"/>
      <c r="J89" s="13"/>
      <c r="K89" s="12"/>
      <c r="M89" s="12"/>
      <c r="N89" s="12"/>
      <c r="O89" s="12"/>
      <c r="P89" s="14"/>
      <c r="Q89" s="14"/>
      <c r="R89" s="12"/>
      <c r="S89" s="12"/>
      <c r="T89" s="12"/>
      <c r="U89" s="12" t="s">
        <v>762</v>
      </c>
      <c r="V89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89" s="12" t="s">
        <v>762</v>
      </c>
      <c r="X89" s="12" t="s">
        <v>762</v>
      </c>
      <c r="Y89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89" s="12" t="s">
        <v>762</v>
      </c>
      <c r="AA89" s="12" t="s">
        <v>762</v>
      </c>
      <c r="AB89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89" s="12" t="s">
        <v>762</v>
      </c>
      <c r="AD89" s="12" t="s">
        <v>762</v>
      </c>
      <c r="AE89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89" s="12" t="s">
        <v>762</v>
      </c>
      <c r="AG89" s="12" t="s">
        <v>762</v>
      </c>
      <c r="AH89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89" s="12" t="s">
        <v>762</v>
      </c>
      <c r="AJ89" s="12" t="s">
        <v>762</v>
      </c>
      <c r="AK89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89" s="12" t="s">
        <v>762</v>
      </c>
      <c r="AM89" s="12"/>
      <c r="AN89" s="12"/>
      <c r="AO89" s="12"/>
      <c r="AP89" s="12"/>
      <c r="AQ89" s="12"/>
      <c r="AR89" s="12"/>
      <c r="AS89" s="12"/>
      <c r="AT89" s="12"/>
      <c r="AU89" s="13">
        <v>43566</v>
      </c>
      <c r="AV89" s="12"/>
    </row>
    <row r="90" spans="1:48" ht="18" customHeight="1" x14ac:dyDescent="0.3">
      <c r="A90" s="12"/>
      <c r="B90" s="12" t="str">
        <f>IF(NOT(Flex[Parent WO]=""), HYPERLINK("http://ecow.ninja/maximo.html?p=" &amp;Flex[Parent WO],Flex[Parent WO]),"")</f>
        <v/>
      </c>
      <c r="C90" s="12" t="s">
        <v>879</v>
      </c>
      <c r="D90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4/11/2019</v>
      </c>
      <c r="E90" s="12"/>
      <c r="F90" s="12"/>
      <c r="G90" s="13"/>
      <c r="H90" s="13"/>
      <c r="I90" s="12"/>
      <c r="J90" s="13"/>
      <c r="K90" s="12"/>
      <c r="M90" s="12"/>
      <c r="N90" s="12"/>
      <c r="O90" s="12"/>
      <c r="P90" s="14"/>
      <c r="Q90" s="14"/>
      <c r="R90" s="12"/>
      <c r="S90" s="12"/>
      <c r="T90" s="12"/>
      <c r="U90" s="12" t="s">
        <v>762</v>
      </c>
      <c r="V90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90" s="12" t="s">
        <v>762</v>
      </c>
      <c r="X90" s="12" t="s">
        <v>762</v>
      </c>
      <c r="Y90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90" s="12" t="s">
        <v>762</v>
      </c>
      <c r="AA90" s="12" t="s">
        <v>762</v>
      </c>
      <c r="AB90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90" s="12" t="s">
        <v>762</v>
      </c>
      <c r="AD90" s="12" t="s">
        <v>762</v>
      </c>
      <c r="AE90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90" s="12" t="s">
        <v>762</v>
      </c>
      <c r="AG90" s="12" t="s">
        <v>762</v>
      </c>
      <c r="AH90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90" s="12" t="s">
        <v>762</v>
      </c>
      <c r="AJ90" s="12" t="s">
        <v>762</v>
      </c>
      <c r="AK90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90" s="12" t="s">
        <v>762</v>
      </c>
      <c r="AM90" s="12"/>
      <c r="AN90" s="12"/>
      <c r="AO90" s="12"/>
      <c r="AP90" s="12"/>
      <c r="AQ90" s="12"/>
      <c r="AR90" s="12"/>
      <c r="AS90" s="12"/>
      <c r="AT90" s="12"/>
      <c r="AU90" s="13">
        <v>43566</v>
      </c>
      <c r="AV90" s="12"/>
    </row>
    <row r="91" spans="1:48" ht="18" customHeight="1" x14ac:dyDescent="0.3">
      <c r="A91" s="12" t="s">
        <v>880</v>
      </c>
      <c r="B91" s="12" t="str">
        <f>IF(NOT(Flex[Parent WO]=""), HYPERLINK("http://ecow.ninja/maximo.html?p=" &amp;Flex[Parent WO],Flex[Parent WO]),"")</f>
        <v>K727562</v>
      </c>
      <c r="C91" s="12" t="s">
        <v>881</v>
      </c>
      <c r="D91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TK824645</v>
      </c>
      <c r="E91" s="12" t="s">
        <v>882</v>
      </c>
      <c r="F91" s="12" t="s">
        <v>639</v>
      </c>
      <c r="G91" s="13">
        <v>43564</v>
      </c>
      <c r="H91" s="13">
        <v>43566</v>
      </c>
      <c r="I91" s="12" t="s">
        <v>36</v>
      </c>
      <c r="J91" s="13">
        <v>43657</v>
      </c>
      <c r="K91" s="12" t="s">
        <v>379</v>
      </c>
      <c r="L91" s="1" t="s">
        <v>29</v>
      </c>
      <c r="M91" s="12">
        <v>3</v>
      </c>
      <c r="N91" s="12">
        <v>99</v>
      </c>
      <c r="O91" s="12">
        <v>1</v>
      </c>
      <c r="P91" s="14"/>
      <c r="Q91" s="14"/>
      <c r="R91" s="12" t="s">
        <v>30</v>
      </c>
      <c r="S91" s="12" t="s">
        <v>30</v>
      </c>
      <c r="T91" s="12" t="s">
        <v>33</v>
      </c>
      <c r="U91" s="12" t="s">
        <v>996</v>
      </c>
      <c r="V91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264150 TRA</v>
      </c>
      <c r="W91" s="12" t="s">
        <v>781</v>
      </c>
      <c r="X91" s="12" t="s">
        <v>762</v>
      </c>
      <c r="Y91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91" s="12" t="s">
        <v>762</v>
      </c>
      <c r="AA91" s="12" t="s">
        <v>762</v>
      </c>
      <c r="AB91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91" s="12" t="s">
        <v>762</v>
      </c>
      <c r="AD91" s="12" t="s">
        <v>762</v>
      </c>
      <c r="AE91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91" s="12" t="s">
        <v>762</v>
      </c>
      <c r="AG91" s="12" t="s">
        <v>762</v>
      </c>
      <c r="AH91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91" s="12" t="s">
        <v>762</v>
      </c>
      <c r="AJ91" s="12" t="s">
        <v>762</v>
      </c>
      <c r="AK91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91" s="12" t="s">
        <v>762</v>
      </c>
      <c r="AM91" s="12"/>
      <c r="AN91" s="12"/>
      <c r="AO91" s="12"/>
      <c r="AP91" s="12" t="s">
        <v>379</v>
      </c>
      <c r="AQ91" s="12"/>
      <c r="AR91" s="12"/>
      <c r="AS91" s="12"/>
      <c r="AT91" s="12"/>
      <c r="AU91" s="13">
        <v>43566</v>
      </c>
      <c r="AV91" s="12"/>
    </row>
    <row r="92" spans="1:48" ht="18" customHeight="1" x14ac:dyDescent="0.3">
      <c r="A92" s="12" t="s">
        <v>883</v>
      </c>
      <c r="B92" s="12" t="str">
        <f>IF(NOT(Flex[Parent WO]=""), HYPERLINK("http://ecow.ninja/maximo.html?p=" &amp;Flex[Parent WO],Flex[Parent WO]),"")</f>
        <v>K687232</v>
      </c>
      <c r="C92" s="12" t="s">
        <v>884</v>
      </c>
      <c r="D92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TK791766</v>
      </c>
      <c r="E92" s="12" t="s">
        <v>885</v>
      </c>
      <c r="F92" s="12" t="s">
        <v>886</v>
      </c>
      <c r="G92" s="13">
        <v>43565</v>
      </c>
      <c r="H92" s="13">
        <v>43565</v>
      </c>
      <c r="I92" s="12" t="s">
        <v>887</v>
      </c>
      <c r="J92" s="13">
        <v>43830</v>
      </c>
      <c r="K92" s="12" t="s">
        <v>379</v>
      </c>
      <c r="L92" s="1" t="s">
        <v>34</v>
      </c>
      <c r="M92" s="12">
        <v>3</v>
      </c>
      <c r="N92" s="12">
        <v>34.5</v>
      </c>
      <c r="O92" s="12">
        <v>2</v>
      </c>
      <c r="P92" s="14"/>
      <c r="Q92" s="14"/>
      <c r="R92" s="12" t="s">
        <v>30</v>
      </c>
      <c r="S92" s="12" t="s">
        <v>30</v>
      </c>
      <c r="T92" s="12" t="s">
        <v>33</v>
      </c>
      <c r="U92" s="12" t="s">
        <v>762</v>
      </c>
      <c r="V92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92" s="12" t="s">
        <v>762</v>
      </c>
      <c r="X92" s="12" t="s">
        <v>762</v>
      </c>
      <c r="Y92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92" s="12" t="s">
        <v>762</v>
      </c>
      <c r="AA92" s="12" t="s">
        <v>762</v>
      </c>
      <c r="AB92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92" s="12" t="s">
        <v>762</v>
      </c>
      <c r="AD92" s="12" t="s">
        <v>762</v>
      </c>
      <c r="AE92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92" s="12" t="s">
        <v>762</v>
      </c>
      <c r="AG92" s="12" t="s">
        <v>762</v>
      </c>
      <c r="AH92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92" s="12" t="s">
        <v>762</v>
      </c>
      <c r="AJ92" s="12" t="s">
        <v>762</v>
      </c>
      <c r="AK92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92" s="12" t="s">
        <v>762</v>
      </c>
      <c r="AM92" s="12"/>
      <c r="AN92" s="12"/>
      <c r="AO92" s="12"/>
      <c r="AP92" s="12" t="s">
        <v>379</v>
      </c>
      <c r="AQ92" s="12"/>
      <c r="AR92" s="12"/>
      <c r="AS92" s="12"/>
      <c r="AT92" s="12"/>
      <c r="AU92" s="13">
        <v>43566</v>
      </c>
      <c r="AV92" s="12"/>
    </row>
    <row r="93" spans="1:48" ht="18" customHeight="1" x14ac:dyDescent="0.3">
      <c r="A93" s="12" t="s">
        <v>888</v>
      </c>
      <c r="B93" s="12" t="str">
        <f>IF(NOT(Flex[Parent WO]=""), HYPERLINK("http://ecow.ninja/maximo.html?p=" &amp;Flex[Parent WO],Flex[Parent WO]),"")</f>
        <v>K398909</v>
      </c>
      <c r="C93" s="12" t="s">
        <v>889</v>
      </c>
      <c r="D93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TK791764</v>
      </c>
      <c r="E93" s="12" t="s">
        <v>890</v>
      </c>
      <c r="F93" s="12" t="s">
        <v>886</v>
      </c>
      <c r="G93" s="13">
        <v>43566</v>
      </c>
      <c r="H93" s="13">
        <v>43566</v>
      </c>
      <c r="I93" s="12" t="s">
        <v>887</v>
      </c>
      <c r="J93" s="13">
        <v>43830</v>
      </c>
      <c r="K93" s="12" t="s">
        <v>379</v>
      </c>
      <c r="L93" s="1" t="s">
        <v>29</v>
      </c>
      <c r="M93" s="12">
        <v>3</v>
      </c>
      <c r="N93" s="12">
        <v>30</v>
      </c>
      <c r="O93" s="12">
        <v>2</v>
      </c>
      <c r="P93" s="14"/>
      <c r="Q93" s="14"/>
      <c r="R93" s="12" t="s">
        <v>42</v>
      </c>
      <c r="S93" s="12" t="s">
        <v>42</v>
      </c>
      <c r="T93" s="12" t="s">
        <v>33</v>
      </c>
      <c r="U93" s="12" t="s">
        <v>762</v>
      </c>
      <c r="V93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93" s="12" t="s">
        <v>762</v>
      </c>
      <c r="X93" s="12" t="s">
        <v>762</v>
      </c>
      <c r="Y93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93" s="12" t="s">
        <v>762</v>
      </c>
      <c r="AA93" s="12" t="s">
        <v>762</v>
      </c>
      <c r="AB93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93" s="12" t="s">
        <v>762</v>
      </c>
      <c r="AD93" s="12" t="s">
        <v>762</v>
      </c>
      <c r="AE93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93" s="12" t="s">
        <v>762</v>
      </c>
      <c r="AG93" s="12" t="s">
        <v>762</v>
      </c>
      <c r="AH93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93" s="12" t="s">
        <v>762</v>
      </c>
      <c r="AJ93" s="12" t="s">
        <v>762</v>
      </c>
      <c r="AK93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93" s="12" t="s">
        <v>762</v>
      </c>
      <c r="AM93" s="12"/>
      <c r="AN93" s="12"/>
      <c r="AO93" s="12"/>
      <c r="AP93" s="12" t="s">
        <v>379</v>
      </c>
      <c r="AQ93" s="12"/>
      <c r="AR93" s="12" t="s">
        <v>42</v>
      </c>
      <c r="AS93" s="12"/>
      <c r="AT93" s="12"/>
      <c r="AU93" s="13">
        <v>43566</v>
      </c>
      <c r="AV93" s="12"/>
    </row>
    <row r="94" spans="1:48" ht="18" customHeight="1" x14ac:dyDescent="0.3">
      <c r="A94" s="12" t="s">
        <v>891</v>
      </c>
      <c r="B94" s="12" t="str">
        <f>IF(NOT(Flex[Parent WO]=""), HYPERLINK("http://ecow.ninja/maximo.html?p=" &amp;Flex[Parent WO],Flex[Parent WO]),"")</f>
        <v>K672836</v>
      </c>
      <c r="C94" s="12" t="s">
        <v>892</v>
      </c>
      <c r="D94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TK791765</v>
      </c>
      <c r="E94" s="12" t="s">
        <v>893</v>
      </c>
      <c r="F94" s="12" t="s">
        <v>894</v>
      </c>
      <c r="G94" s="13">
        <v>43567</v>
      </c>
      <c r="H94" s="13">
        <v>43567</v>
      </c>
      <c r="I94" s="12" t="s">
        <v>887</v>
      </c>
      <c r="J94" s="13">
        <v>43830</v>
      </c>
      <c r="K94" s="12" t="s">
        <v>379</v>
      </c>
      <c r="L94" s="1" t="s">
        <v>29</v>
      </c>
      <c r="M94" s="12">
        <v>3</v>
      </c>
      <c r="N94" s="12">
        <v>30</v>
      </c>
      <c r="O94" s="12">
        <v>2</v>
      </c>
      <c r="P94" s="14"/>
      <c r="Q94" s="14"/>
      <c r="R94" s="12" t="s">
        <v>42</v>
      </c>
      <c r="S94" s="12" t="s">
        <v>42</v>
      </c>
      <c r="T94" s="12" t="s">
        <v>33</v>
      </c>
      <c r="U94" s="12" t="s">
        <v>762</v>
      </c>
      <c r="V94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94" s="12" t="s">
        <v>762</v>
      </c>
      <c r="X94" s="12" t="s">
        <v>762</v>
      </c>
      <c r="Y94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94" s="12" t="s">
        <v>762</v>
      </c>
      <c r="AA94" s="12" t="s">
        <v>762</v>
      </c>
      <c r="AB94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94" s="12" t="s">
        <v>762</v>
      </c>
      <c r="AD94" s="12" t="s">
        <v>762</v>
      </c>
      <c r="AE94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94" s="12" t="s">
        <v>762</v>
      </c>
      <c r="AG94" s="12" t="s">
        <v>762</v>
      </c>
      <c r="AH94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94" s="12" t="s">
        <v>762</v>
      </c>
      <c r="AJ94" s="12" t="s">
        <v>762</v>
      </c>
      <c r="AK94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94" s="12" t="s">
        <v>762</v>
      </c>
      <c r="AM94" s="12"/>
      <c r="AN94" s="12"/>
      <c r="AO94" s="12"/>
      <c r="AP94" s="12" t="s">
        <v>379</v>
      </c>
      <c r="AQ94" s="12"/>
      <c r="AR94" s="12" t="s">
        <v>42</v>
      </c>
      <c r="AS94" s="12"/>
      <c r="AT94" s="12"/>
      <c r="AU94" s="13">
        <v>43566</v>
      </c>
      <c r="AV94" s="12"/>
    </row>
    <row r="95" spans="1:48" ht="18" customHeight="1" x14ac:dyDescent="0.3">
      <c r="A95" s="12" t="s">
        <v>895</v>
      </c>
      <c r="B95" s="12" t="str">
        <f>IF(NOT(Flex[Parent WO]=""), HYPERLINK("http://ecow.ninja/maximo.html?p=" &amp;Flex[Parent WO],Flex[Parent WO]),"")</f>
        <v>K727566</v>
      </c>
      <c r="C95" s="12" t="s">
        <v>896</v>
      </c>
      <c r="D95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TK824649</v>
      </c>
      <c r="E95" s="12" t="s">
        <v>897</v>
      </c>
      <c r="F95" s="12" t="s">
        <v>639</v>
      </c>
      <c r="G95" s="13">
        <v>43568</v>
      </c>
      <c r="H95" s="13">
        <v>43568</v>
      </c>
      <c r="I95" s="12"/>
      <c r="J95" s="13">
        <v>43657</v>
      </c>
      <c r="K95" s="12" t="s">
        <v>379</v>
      </c>
      <c r="L95" s="1" t="s">
        <v>34</v>
      </c>
      <c r="M95" s="12">
        <v>3</v>
      </c>
      <c r="N95" s="12">
        <v>24</v>
      </c>
      <c r="O95" s="12">
        <v>2</v>
      </c>
      <c r="P95" s="14"/>
      <c r="Q95" s="14"/>
      <c r="R95" s="12" t="s">
        <v>30</v>
      </c>
      <c r="S95" s="12" t="s">
        <v>30</v>
      </c>
      <c r="T95" s="12" t="s">
        <v>33</v>
      </c>
      <c r="U95" s="12" t="s">
        <v>994</v>
      </c>
      <c r="V95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>264147 RTV</v>
      </c>
      <c r="W95" s="12" t="s">
        <v>786</v>
      </c>
      <c r="X95" s="12" t="s">
        <v>762</v>
      </c>
      <c r="Y95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95" s="12" t="s">
        <v>762</v>
      </c>
      <c r="AA95" s="12" t="s">
        <v>762</v>
      </c>
      <c r="AB95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95" s="12" t="s">
        <v>762</v>
      </c>
      <c r="AD95" s="12" t="s">
        <v>762</v>
      </c>
      <c r="AE95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95" s="12" t="s">
        <v>762</v>
      </c>
      <c r="AG95" s="12" t="s">
        <v>762</v>
      </c>
      <c r="AH95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95" s="12" t="s">
        <v>762</v>
      </c>
      <c r="AJ95" s="12" t="s">
        <v>762</v>
      </c>
      <c r="AK95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95" s="12" t="s">
        <v>762</v>
      </c>
      <c r="AM95" s="12"/>
      <c r="AN95" s="12"/>
      <c r="AO95" s="12"/>
      <c r="AP95" s="12" t="s">
        <v>379</v>
      </c>
      <c r="AQ95" s="12"/>
      <c r="AR95" s="12"/>
      <c r="AS95" s="12"/>
      <c r="AT95" s="12"/>
      <c r="AU95" s="13">
        <v>43566</v>
      </c>
      <c r="AV95" s="12"/>
    </row>
    <row r="96" spans="1:48" ht="18" customHeight="1" x14ac:dyDescent="0.3">
      <c r="A96" s="12" t="s">
        <v>898</v>
      </c>
      <c r="B96" s="12" t="str">
        <f>IF(NOT(Flex[Parent WO]=""), HYPERLINK("http://ecow.ninja/maximo.html?p=" &amp;Flex[Parent WO],Flex[Parent WO]),"")</f>
        <v>K659041</v>
      </c>
      <c r="C96" s="12" t="s">
        <v>899</v>
      </c>
      <c r="D96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TK791745</v>
      </c>
      <c r="E96" s="12" t="s">
        <v>900</v>
      </c>
      <c r="F96" s="12" t="s">
        <v>886</v>
      </c>
      <c r="G96" s="13">
        <v>43568</v>
      </c>
      <c r="H96" s="13">
        <v>43568</v>
      </c>
      <c r="I96" s="12" t="s">
        <v>887</v>
      </c>
      <c r="J96" s="13">
        <v>43830</v>
      </c>
      <c r="K96" s="12" t="s">
        <v>379</v>
      </c>
      <c r="L96" s="1" t="s">
        <v>29</v>
      </c>
      <c r="M96" s="12">
        <v>3</v>
      </c>
      <c r="N96" s="12">
        <v>30</v>
      </c>
      <c r="O96" s="12">
        <v>2</v>
      </c>
      <c r="P96" s="14"/>
      <c r="Q96" s="14"/>
      <c r="R96" s="12" t="s">
        <v>42</v>
      </c>
      <c r="S96" s="12" t="s">
        <v>42</v>
      </c>
      <c r="T96" s="12" t="s">
        <v>33</v>
      </c>
      <c r="U96" s="12" t="s">
        <v>762</v>
      </c>
      <c r="V96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96" s="12" t="s">
        <v>762</v>
      </c>
      <c r="X96" s="12" t="s">
        <v>762</v>
      </c>
      <c r="Y96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96" s="12" t="s">
        <v>762</v>
      </c>
      <c r="AA96" s="12" t="s">
        <v>762</v>
      </c>
      <c r="AB96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96" s="12" t="s">
        <v>762</v>
      </c>
      <c r="AD96" s="12" t="s">
        <v>762</v>
      </c>
      <c r="AE96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96" s="12" t="s">
        <v>762</v>
      </c>
      <c r="AG96" s="12" t="s">
        <v>762</v>
      </c>
      <c r="AH96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96" s="12" t="s">
        <v>762</v>
      </c>
      <c r="AJ96" s="12" t="s">
        <v>762</v>
      </c>
      <c r="AK96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96" s="12" t="s">
        <v>762</v>
      </c>
      <c r="AM96" s="12"/>
      <c r="AN96" s="12"/>
      <c r="AO96" s="12"/>
      <c r="AP96" s="12" t="s">
        <v>379</v>
      </c>
      <c r="AQ96" s="12"/>
      <c r="AR96" s="12" t="s">
        <v>42</v>
      </c>
      <c r="AS96" s="12"/>
      <c r="AT96" s="12"/>
      <c r="AU96" s="13">
        <v>43566</v>
      </c>
      <c r="AV96" s="12"/>
    </row>
    <row r="97" spans="1:48" ht="18" customHeight="1" x14ac:dyDescent="0.3">
      <c r="A97" s="12" t="s">
        <v>901</v>
      </c>
      <c r="B97" s="12" t="str">
        <f>IF(NOT(Flex[Parent WO]=""), HYPERLINK("http://ecow.ninja/maximo.html?p=" &amp;Flex[Parent WO],Flex[Parent WO]),"")</f>
        <v>K687236</v>
      </c>
      <c r="C97" s="12" t="s">
        <v>902</v>
      </c>
      <c r="D97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TK791767</v>
      </c>
      <c r="E97" s="12" t="s">
        <v>903</v>
      </c>
      <c r="F97" s="12" t="s">
        <v>886</v>
      </c>
      <c r="G97" s="13">
        <v>43569</v>
      </c>
      <c r="H97" s="13">
        <v>43569</v>
      </c>
      <c r="I97" s="12" t="s">
        <v>887</v>
      </c>
      <c r="J97" s="13">
        <v>43830</v>
      </c>
      <c r="K97" s="12" t="s">
        <v>379</v>
      </c>
      <c r="L97" s="1" t="s">
        <v>34</v>
      </c>
      <c r="M97" s="12">
        <v>3</v>
      </c>
      <c r="N97" s="12">
        <v>18</v>
      </c>
      <c r="O97" s="12">
        <v>2</v>
      </c>
      <c r="P97" s="14"/>
      <c r="Q97" s="14"/>
      <c r="R97" s="12" t="s">
        <v>30</v>
      </c>
      <c r="S97" s="12" t="s">
        <v>30</v>
      </c>
      <c r="T97" s="12" t="s">
        <v>33</v>
      </c>
      <c r="U97" s="12" t="s">
        <v>762</v>
      </c>
      <c r="V97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97" s="12" t="s">
        <v>762</v>
      </c>
      <c r="X97" s="12" t="s">
        <v>762</v>
      </c>
      <c r="Y97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97" s="12" t="s">
        <v>762</v>
      </c>
      <c r="AA97" s="12" t="s">
        <v>762</v>
      </c>
      <c r="AB97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97" s="12" t="s">
        <v>762</v>
      </c>
      <c r="AD97" s="12" t="s">
        <v>762</v>
      </c>
      <c r="AE97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97" s="12" t="s">
        <v>762</v>
      </c>
      <c r="AG97" s="12" t="s">
        <v>762</v>
      </c>
      <c r="AH97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97" s="12" t="s">
        <v>762</v>
      </c>
      <c r="AJ97" s="12" t="s">
        <v>762</v>
      </c>
      <c r="AK97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97" s="12" t="s">
        <v>762</v>
      </c>
      <c r="AM97" s="12"/>
      <c r="AN97" s="12"/>
      <c r="AO97" s="12"/>
      <c r="AP97" s="12" t="s">
        <v>379</v>
      </c>
      <c r="AQ97" s="12"/>
      <c r="AR97" s="12"/>
      <c r="AS97" s="12"/>
      <c r="AT97" s="12"/>
      <c r="AU97" s="13">
        <v>43566</v>
      </c>
      <c r="AV97" s="12"/>
    </row>
    <row r="98" spans="1:48" ht="18" customHeight="1" x14ac:dyDescent="0.3">
      <c r="A98" s="12" t="s">
        <v>904</v>
      </c>
      <c r="B98" s="12" t="str">
        <f>IF(NOT(Flex[Parent WO]=""), HYPERLINK("http://ecow.ninja/maximo.html?p=" &amp;Flex[Parent WO],Flex[Parent WO]),"")</f>
        <v>K726773</v>
      </c>
      <c r="C98" s="12" t="s">
        <v>905</v>
      </c>
      <c r="D98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TK823979</v>
      </c>
      <c r="E98" s="12" t="s">
        <v>906</v>
      </c>
      <c r="F98" s="12" t="s">
        <v>558</v>
      </c>
      <c r="G98" s="13">
        <v>43569</v>
      </c>
      <c r="H98" s="13">
        <v>43569</v>
      </c>
      <c r="I98" s="12"/>
      <c r="J98" s="13">
        <v>43631</v>
      </c>
      <c r="K98" s="12" t="s">
        <v>379</v>
      </c>
      <c r="L98" s="1" t="s">
        <v>34</v>
      </c>
      <c r="M98" s="12">
        <v>3</v>
      </c>
      <c r="N98" s="12">
        <v>34.5</v>
      </c>
      <c r="O98" s="12">
        <v>3</v>
      </c>
      <c r="P98" s="14"/>
      <c r="Q98" s="14"/>
      <c r="R98" s="12" t="s">
        <v>30</v>
      </c>
      <c r="S98" s="12" t="s">
        <v>30</v>
      </c>
      <c r="T98" s="12" t="s">
        <v>33</v>
      </c>
      <c r="U98" s="12" t="s">
        <v>762</v>
      </c>
      <c r="V98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98" s="12" t="s">
        <v>762</v>
      </c>
      <c r="X98" s="12" t="s">
        <v>762</v>
      </c>
      <c r="Y98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98" s="12" t="s">
        <v>762</v>
      </c>
      <c r="AA98" s="12" t="s">
        <v>762</v>
      </c>
      <c r="AB98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98" s="12" t="s">
        <v>762</v>
      </c>
      <c r="AD98" s="12" t="s">
        <v>762</v>
      </c>
      <c r="AE98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98" s="12" t="s">
        <v>762</v>
      </c>
      <c r="AG98" s="12" t="s">
        <v>762</v>
      </c>
      <c r="AH98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98" s="12" t="s">
        <v>762</v>
      </c>
      <c r="AJ98" s="12" t="s">
        <v>762</v>
      </c>
      <c r="AK98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98" s="12" t="s">
        <v>762</v>
      </c>
      <c r="AM98" s="12"/>
      <c r="AN98" s="12"/>
      <c r="AO98" s="12"/>
      <c r="AP98" s="12" t="s">
        <v>379</v>
      </c>
      <c r="AQ98" s="12"/>
      <c r="AR98" s="12"/>
      <c r="AS98" s="12"/>
      <c r="AT98" s="12"/>
      <c r="AU98" s="13">
        <v>43566</v>
      </c>
      <c r="AV98" s="12"/>
    </row>
    <row r="99" spans="1:48" ht="18" customHeight="1" x14ac:dyDescent="0.3">
      <c r="A99" s="12" t="s">
        <v>907</v>
      </c>
      <c r="B99" s="12" t="str">
        <f>IF(NOT(Flex[Parent WO]=""), HYPERLINK("http://ecow.ninja/maximo.html?p=" &amp;Flex[Parent WO],Flex[Parent WO]),"")</f>
        <v>K709630</v>
      </c>
      <c r="C99" s="12" t="s">
        <v>908</v>
      </c>
      <c r="D99" s="12" t="str">
        <f>IF(ISERROR(DATE(DAY(Flex[Work Order Number]),MONTH(Flex[Work Order Number]),YEAR(Flex[Work Order Number]))), HYPERLINK("http://ecow.ninja/maximo.html?p=" &amp; Flex[Work Order Number],Flex[Work Order Number]),IF( Flex[Work Order Number]="","",Flex[Work Order Number]))</f>
        <v>TK810123</v>
      </c>
      <c r="E99" s="12" t="s">
        <v>909</v>
      </c>
      <c r="F99" s="12" t="s">
        <v>910</v>
      </c>
      <c r="G99" s="13">
        <v>43570</v>
      </c>
      <c r="H99" s="13">
        <v>43571</v>
      </c>
      <c r="I99" s="12"/>
      <c r="J99" s="13">
        <v>43739</v>
      </c>
      <c r="K99" s="12" t="s">
        <v>379</v>
      </c>
      <c r="L99" s="1" t="s">
        <v>34</v>
      </c>
      <c r="M99" s="12">
        <v>3</v>
      </c>
      <c r="N99" s="12">
        <v>60</v>
      </c>
      <c r="O99" s="12">
        <v>1</v>
      </c>
      <c r="P99" s="14"/>
      <c r="Q99" s="14"/>
      <c r="R99" s="12" t="s">
        <v>30</v>
      </c>
      <c r="S99" s="12" t="s">
        <v>30</v>
      </c>
      <c r="T99" s="12" t="s">
        <v>33</v>
      </c>
      <c r="U99" s="12" t="s">
        <v>762</v>
      </c>
      <c r="V99" s="12" t="str">
        <f>IF(Flex[Permit 1 Link]&lt;&gt;"",HYPERLINK("http://ecow.ninja/ecow.html?p=" &amp;_xlfn.ENCODEURL( Flex[Permit 1 Link]),RIGHT(Flex[Permit 1 Link],6)  &amp; " "   &amp;  _xlfn.IFS( ISNUMBER(SEARCH("Verified",Flex[Permit 1])),"Verified", ISNUMBER(SEARCH("Approved",Flex[Permit 1])), "TRA", ISNUMBER(SEARCH("Clos",Flex[Permit 1])), "Closed",ISNUMBER(SEARCH("SuspendedForRevalidation",Flex[Permit 1])), "Suspended", ISNUMBER(SEARCH("Requesting",Flex[Permit 1])),"Draft", ISNUMBER(SEARCH("ReadyToVerify",Flex[Permit 1])),"RTV", ISNUMBER(SEARCH("Authori",Flex[Permit 1])),"Authorised", ISNUMBER(SEARCH("Active",Flex[Permit 1])),"Live", TRUE,  "???")),"")</f>
        <v/>
      </c>
      <c r="W99" s="12" t="s">
        <v>762</v>
      </c>
      <c r="X99" s="12" t="s">
        <v>762</v>
      </c>
      <c r="Y99" s="15" t="str">
        <f>IF(Flex[Permit 2 Link]&lt;&gt;"",HYPERLINK("http://ecow.ninja/ecow.html?p=" &amp;_xlfn.ENCODEURL( Flex[Permit 2 Link]),RIGHT(Flex[Permit 2 Link],6)  &amp; " "   &amp;  _xlfn.IFS( ISNUMBER(SEARCH("Verified",Flex[Permit 2])),"Verified", ISNUMBER(SEARCH("Approved",Flex[Permit 2])), "TRA", ISNUMBER(SEARCH("Clos",Flex[Permit 2])), "Closed",ISNUMBER(SEARCH("SuspendedForRevalidation",Flex[Permit 2])), "Suspended", ISNUMBER(SEARCH("Requesting",Flex[Permit 2])),"Draft", ISNUMBER(SEARCH("ReadyToVerify",Flex[Permit 2])),"RTV", ISNUMBER(SEARCH("Authori",Flex[Permit 2])),"Authorised", ISNUMBER(SEARCH("Active",Flex[Permit 2])),"Live", TRUE,  "???")),"")</f>
        <v/>
      </c>
      <c r="Z99" s="12" t="s">
        <v>762</v>
      </c>
      <c r="AA99" s="12" t="s">
        <v>762</v>
      </c>
      <c r="AB99" s="12" t="str">
        <f>IF(Flex[Permit 3 Link]&lt;&gt;"",HYPERLINK("http://ecow.ninja/ecow.html?p=" &amp;_xlfn.ENCODEURL( Flex[Permit 3 Link]),RIGHT(Flex[Permit 3 Link],6)  &amp; " "   &amp;  _xlfn.IFS( ISNUMBER(SEARCH("Verified",Flex[Permit 3])),"Verified", ISNUMBER(SEARCH("Approved",Flex[Permit 3])), "TRA", ISNUMBER(SEARCH("Clos",Flex[Permit 3])), "Closed",ISNUMBER(SEARCH("SuspendedForRevalidation",Flex[Permit 3])), "Suspended", ISNUMBER(SEARCH("Requesting",Flex[Permit 3])),"Draft", ISNUMBER(SEARCH("ReadyToVerify",Flex[Permit 3])),"RTV", ISNUMBER(SEARCH("Authori",Flex[Permit 3])),"Authorised", ISNUMBER(SEARCH("Active",Flex[Permit 3])),"Live", TRUE,  "???")),"")</f>
        <v/>
      </c>
      <c r="AC99" s="12" t="s">
        <v>762</v>
      </c>
      <c r="AD99" s="12" t="s">
        <v>762</v>
      </c>
      <c r="AE99" s="12" t="str">
        <f>IF(Flex[Permit 4 Link]&lt;&gt;"",HYPERLINK("http://ecow.ninja/ecow.html?p=" &amp;_xlfn.ENCODEURL( Flex[Permit 4 Link]),RIGHT(Flex[Permit 4 Link],6)  &amp; " "   &amp;  _xlfn.IFS( ISNUMBER(SEARCH("Verified",Flex[Permit 4])),"Verified", ISNUMBER(SEARCH("Approved",Flex[Permit 4])), "TRA", ISNUMBER(SEARCH("Clos",Flex[Permit 4])), "Closed",ISNUMBER(SEARCH("SuspendedForRevalidation",Flex[Permit 4])), "Suspended", ISNUMBER(SEARCH("Requesting",Flex[Permit 4])),"Draft", ISNUMBER(SEARCH("ReadyToVerify",Flex[Permit 4])),"RTV", ISNUMBER(SEARCH("Authori",Flex[Permit 4])),"Authorised", ISNUMBER(SEARCH("Active",Flex[Permit 4])),"Live", TRUE,  "???")),"")</f>
        <v/>
      </c>
      <c r="AF99" s="12" t="s">
        <v>762</v>
      </c>
      <c r="AG99" s="12" t="s">
        <v>762</v>
      </c>
      <c r="AH99" s="12" t="str">
        <f>IF(Flex[Permit 5 Link]&lt;&gt;"",HYPERLINK("http://ecow.ninja/ecow.html?p=" &amp;_xlfn.ENCODEURL( Flex[Permit 5 Link]),RIGHT(Flex[Permit 5 Link],6)  &amp; " "   &amp;  _xlfn.IFS( ISNUMBER(SEARCH("Verified",Flex[Permit 5])),"Verified", ISNUMBER(SEARCH("Approved",Flex[Permit 5])), "TRA", ISNUMBER(SEARCH("Clos",Flex[Permit 5])), "Closed",ISNUMBER(SEARCH("SuspendedForRevalidation",Flex[Permit 5])), "Suspended", ISNUMBER(SEARCH("Requesting",Flex[Permit 5])),"Draft", ISNUMBER(SEARCH("ReadyToVerify",Flex[Permit 5])),"RTV", ISNUMBER(SEARCH("Authori",Flex[Permit 5])),"Authorised", ISNUMBER(SEARCH("Active",Flex[Permit 5])),"Live", TRUE,  "???")),"")</f>
        <v/>
      </c>
      <c r="AI99" s="12" t="s">
        <v>762</v>
      </c>
      <c r="AJ99" s="12" t="s">
        <v>762</v>
      </c>
      <c r="AK99" s="12" t="str">
        <f>IF(Flex[Permit 6 Link]&lt;&gt;"",HYPERLINK("http://ecow.ninja/ecow.html?p=" &amp;_xlfn.ENCODEURL( Flex[Permit 6 Link]),RIGHT(Flex[Permit 6 Link],6)  &amp; " "   &amp;  _xlfn.IFS( ISNUMBER(SEARCH("Verified",Flex[Permit 6])),"Verified", ISNUMBER(SEARCH("Approved",Flex[Permit 6])), "TRA", ISNUMBER(SEARCH("Clos",Flex[Permit 6])), "Closed",ISNUMBER(SEARCH("SuspendedForRevalidation",Flex[Permit 6])), "Suspended", ISNUMBER(SEARCH("Requesting",Flex[Permit 6])),"Draft", ISNUMBER(SEARCH("ReadyToVerify",Flex[Permit 6])),"RTV", ISNUMBER(SEARCH("Authori",Flex[Permit 6])),"Authorised", ISNUMBER(SEARCH("Active",Flex[Permit 6])),"Live", TRUE,  "???")),"")</f>
        <v/>
      </c>
      <c r="AL99" s="12" t="s">
        <v>762</v>
      </c>
      <c r="AM99" s="12"/>
      <c r="AN99" s="12"/>
      <c r="AO99" s="12"/>
      <c r="AP99" s="12" t="s">
        <v>379</v>
      </c>
      <c r="AQ99" s="12"/>
      <c r="AR99" s="12"/>
      <c r="AS99" s="12"/>
      <c r="AT99" s="12"/>
      <c r="AU99" s="13">
        <v>43566</v>
      </c>
      <c r="AV99" s="12"/>
    </row>
    <row r="100" spans="1:48" ht="18" customHeight="1" x14ac:dyDescent="0.25">
      <c r="A100" s="4"/>
      <c r="B100" s="4"/>
      <c r="D100" s="4"/>
      <c r="E100" s="4"/>
      <c r="F100" s="4"/>
      <c r="I100" s="4"/>
      <c r="J100" s="2"/>
      <c r="K100" s="4"/>
      <c r="M100" s="4"/>
      <c r="N100" s="4"/>
      <c r="O100" s="4"/>
      <c r="R100" s="4"/>
      <c r="S100" s="4"/>
      <c r="T100" s="4"/>
      <c r="V100" s="10"/>
      <c r="W100" s="4"/>
      <c r="Y100" s="10"/>
      <c r="Z100" s="4"/>
      <c r="AB100" s="10"/>
      <c r="AC100" s="4"/>
      <c r="AE100" s="10"/>
      <c r="AF100" s="4"/>
      <c r="AH100" s="10"/>
      <c r="AI100" s="4"/>
      <c r="AK100" s="4"/>
      <c r="AL100" s="4"/>
      <c r="AM100" s="4"/>
      <c r="AN100" s="4"/>
      <c r="AO100" s="4"/>
      <c r="AP100" s="4"/>
      <c r="AQ100" s="4"/>
      <c r="AR100" s="4"/>
      <c r="AS100" s="4"/>
      <c r="AT100" s="2"/>
    </row>
    <row r="101" spans="1:48" ht="18" customHeight="1" x14ac:dyDescent="0.25">
      <c r="A101" s="4"/>
      <c r="B101" s="4"/>
      <c r="D101" s="4"/>
      <c r="E101" s="4"/>
      <c r="F101" s="4"/>
      <c r="I101" s="4"/>
      <c r="J101" s="2"/>
      <c r="K101" s="4"/>
      <c r="M101" s="4"/>
      <c r="N101" s="4"/>
      <c r="O101" s="4"/>
      <c r="R101" s="4"/>
      <c r="S101" s="4"/>
      <c r="T101" s="4"/>
      <c r="V101" s="10"/>
      <c r="W101" s="4"/>
      <c r="Y101" s="10"/>
      <c r="Z101" s="4"/>
      <c r="AB101" s="10"/>
      <c r="AC101" s="4"/>
      <c r="AE101" s="10"/>
      <c r="AF101" s="4"/>
      <c r="AH101" s="10"/>
      <c r="AI101" s="4"/>
      <c r="AK101" s="4"/>
      <c r="AL101" s="4"/>
      <c r="AM101" s="4"/>
      <c r="AN101" s="4"/>
      <c r="AO101" s="4"/>
      <c r="AP101" s="4"/>
      <c r="AQ101" s="4"/>
      <c r="AR101" s="4"/>
      <c r="AS101" s="4"/>
      <c r="AT101" s="2"/>
    </row>
    <row r="102" spans="1:48" ht="18" customHeight="1" x14ac:dyDescent="0.25">
      <c r="A102" s="4"/>
      <c r="B102" s="4"/>
      <c r="D102" s="4"/>
      <c r="E102" s="4"/>
      <c r="F102" s="4"/>
      <c r="I102" s="4"/>
      <c r="J102" s="2"/>
      <c r="K102" s="4"/>
      <c r="M102" s="4"/>
      <c r="N102" s="4"/>
      <c r="O102" s="4"/>
      <c r="R102" s="4"/>
      <c r="S102" s="4"/>
      <c r="T102" s="4"/>
      <c r="V102" s="10"/>
      <c r="W102" s="4"/>
      <c r="Y102" s="10"/>
      <c r="Z102" s="4"/>
      <c r="AB102" s="10"/>
      <c r="AC102" s="4"/>
      <c r="AE102" s="10"/>
      <c r="AF102" s="4"/>
      <c r="AH102" s="10"/>
      <c r="AI102" s="4"/>
      <c r="AK102" s="4"/>
      <c r="AL102" s="4"/>
      <c r="AM102" s="4"/>
      <c r="AN102" s="4"/>
      <c r="AO102" s="4"/>
      <c r="AP102" s="4"/>
      <c r="AQ102" s="4"/>
      <c r="AR102" s="4"/>
      <c r="AS102" s="4"/>
      <c r="AT102" s="2"/>
    </row>
    <row r="103" spans="1:48" ht="18" customHeight="1" x14ac:dyDescent="0.25">
      <c r="A103" s="4"/>
      <c r="B103" s="4"/>
      <c r="D103" s="4"/>
      <c r="E103" s="4"/>
      <c r="F103" s="4"/>
      <c r="I103" s="4"/>
      <c r="J103" s="2"/>
      <c r="K103" s="4"/>
      <c r="M103" s="4"/>
      <c r="N103" s="4"/>
      <c r="O103" s="4"/>
      <c r="R103" s="4"/>
      <c r="S103" s="4"/>
      <c r="T103" s="4"/>
      <c r="V103" s="10"/>
      <c r="W103" s="4"/>
      <c r="Y103" s="10"/>
      <c r="Z103" s="4"/>
      <c r="AB103" s="10"/>
      <c r="AC103" s="4"/>
      <c r="AE103" s="10"/>
      <c r="AF103" s="4"/>
      <c r="AH103" s="10"/>
      <c r="AI103" s="4"/>
      <c r="AK103" s="4"/>
      <c r="AL103" s="4"/>
      <c r="AM103" s="4"/>
      <c r="AN103" s="4"/>
      <c r="AO103" s="4"/>
      <c r="AP103" s="4"/>
      <c r="AQ103" s="4"/>
      <c r="AR103" s="4"/>
      <c r="AS103" s="4"/>
      <c r="AT103" s="2"/>
    </row>
    <row r="104" spans="1:48" ht="18" customHeight="1" x14ac:dyDescent="0.25">
      <c r="A104" s="4"/>
      <c r="B104" s="4"/>
      <c r="D104" s="4"/>
      <c r="E104" s="4"/>
      <c r="F104" s="4"/>
      <c r="I104" s="4"/>
      <c r="J104" s="2"/>
      <c r="K104" s="4"/>
      <c r="M104" s="4"/>
      <c r="N104" s="4"/>
      <c r="O104" s="4"/>
      <c r="R104" s="4"/>
      <c r="S104" s="4"/>
      <c r="T104" s="4"/>
      <c r="V104" s="10"/>
      <c r="W104" s="4"/>
      <c r="Y104" s="10"/>
      <c r="Z104" s="4"/>
      <c r="AB104" s="10"/>
      <c r="AC104" s="4"/>
      <c r="AE104" s="10"/>
      <c r="AF104" s="4"/>
      <c r="AH104" s="10"/>
      <c r="AI104" s="4"/>
      <c r="AK104" s="4"/>
      <c r="AL104" s="4"/>
      <c r="AM104" s="4"/>
      <c r="AN104" s="4"/>
      <c r="AO104" s="4"/>
      <c r="AP104" s="4"/>
      <c r="AQ104" s="4"/>
      <c r="AR104" s="4"/>
      <c r="AS104" s="4"/>
      <c r="AT104" s="2"/>
    </row>
    <row r="105" spans="1:48" ht="18" customHeight="1" x14ac:dyDescent="0.25">
      <c r="A105" s="4"/>
      <c r="B105" s="4"/>
      <c r="D105" s="4"/>
      <c r="E105" s="4"/>
      <c r="F105" s="4"/>
      <c r="I105" s="4"/>
      <c r="J105" s="2"/>
      <c r="K105" s="4"/>
      <c r="M105" s="4"/>
      <c r="N105" s="4"/>
      <c r="O105" s="4"/>
      <c r="R105" s="4"/>
      <c r="S105" s="4"/>
      <c r="T105" s="4"/>
      <c r="V105" s="10"/>
      <c r="W105" s="4"/>
      <c r="Y105" s="10"/>
      <c r="Z105" s="4"/>
      <c r="AB105" s="10"/>
      <c r="AC105" s="4"/>
      <c r="AE105" s="10"/>
      <c r="AF105" s="4"/>
      <c r="AH105" s="10"/>
      <c r="AI105" s="4"/>
      <c r="AK105" s="4"/>
      <c r="AL105" s="4"/>
      <c r="AM105" s="4"/>
      <c r="AN105" s="4"/>
      <c r="AO105" s="4"/>
      <c r="AP105" s="4"/>
      <c r="AQ105" s="4"/>
      <c r="AR105" s="4"/>
      <c r="AS105" s="4"/>
      <c r="AT105" s="2"/>
    </row>
    <row r="106" spans="1:48" ht="18" customHeight="1" x14ac:dyDescent="0.25">
      <c r="A106" s="4"/>
      <c r="B106" s="4"/>
      <c r="D106" s="4"/>
      <c r="E106" s="4"/>
      <c r="F106" s="4"/>
      <c r="I106" s="4"/>
      <c r="J106" s="2"/>
      <c r="K106" s="4"/>
      <c r="M106" s="4"/>
      <c r="N106" s="4"/>
      <c r="O106" s="4"/>
      <c r="R106" s="4"/>
      <c r="S106" s="4"/>
      <c r="T106" s="4"/>
      <c r="V106" s="10"/>
      <c r="W106" s="4"/>
      <c r="Y106" s="10"/>
      <c r="Z106" s="4"/>
      <c r="AB106" s="10"/>
      <c r="AC106" s="4"/>
      <c r="AE106" s="10"/>
      <c r="AF106" s="4"/>
      <c r="AH106" s="10"/>
      <c r="AI106" s="4"/>
      <c r="AK106" s="4"/>
      <c r="AL106" s="4"/>
      <c r="AM106" s="4"/>
      <c r="AN106" s="4"/>
      <c r="AO106" s="4"/>
      <c r="AP106" s="4"/>
      <c r="AQ106" s="4"/>
      <c r="AR106" s="4"/>
      <c r="AS106" s="4"/>
      <c r="AT106" s="2"/>
    </row>
    <row r="107" spans="1:48" ht="18" customHeight="1" x14ac:dyDescent="0.25">
      <c r="A107" s="4"/>
      <c r="B107" s="4"/>
      <c r="D107" s="4"/>
      <c r="E107" s="4"/>
      <c r="F107" s="4"/>
      <c r="I107" s="4"/>
      <c r="J107" s="2"/>
      <c r="K107" s="4"/>
      <c r="M107" s="4"/>
      <c r="N107" s="4"/>
      <c r="O107" s="4"/>
      <c r="R107" s="4"/>
      <c r="S107" s="4"/>
      <c r="T107" s="4"/>
      <c r="V107" s="10"/>
      <c r="W107" s="4"/>
      <c r="Y107" s="10"/>
      <c r="Z107" s="4"/>
      <c r="AB107" s="10"/>
      <c r="AC107" s="4"/>
      <c r="AE107" s="10"/>
      <c r="AF107" s="4"/>
      <c r="AH107" s="10"/>
      <c r="AI107" s="4"/>
      <c r="AK107" s="4"/>
      <c r="AL107" s="4"/>
      <c r="AM107" s="4"/>
      <c r="AN107" s="4"/>
      <c r="AO107" s="4"/>
      <c r="AP107" s="4"/>
      <c r="AQ107" s="4"/>
      <c r="AR107" s="4"/>
      <c r="AS107" s="4"/>
      <c r="AT107" s="2"/>
    </row>
    <row r="108" spans="1:48" ht="18" customHeight="1" x14ac:dyDescent="0.25">
      <c r="A108" s="4"/>
      <c r="B108" s="4"/>
      <c r="D108" s="4"/>
      <c r="E108" s="4"/>
      <c r="F108" s="4"/>
      <c r="I108" s="4"/>
      <c r="J108" s="2"/>
      <c r="K108" s="4"/>
      <c r="M108" s="4"/>
      <c r="N108" s="4"/>
      <c r="O108" s="4"/>
      <c r="R108" s="4"/>
      <c r="S108" s="4"/>
      <c r="T108" s="4"/>
      <c r="V108" s="10"/>
      <c r="W108" s="4"/>
      <c r="Y108" s="10"/>
      <c r="Z108" s="4"/>
      <c r="AB108" s="10"/>
      <c r="AC108" s="4"/>
      <c r="AE108" s="10"/>
      <c r="AF108" s="4"/>
      <c r="AH108" s="10"/>
      <c r="AI108" s="4"/>
      <c r="AK108" s="4"/>
      <c r="AL108" s="4"/>
      <c r="AM108" s="4"/>
      <c r="AN108" s="4"/>
      <c r="AO108" s="4"/>
      <c r="AP108" s="4"/>
      <c r="AQ108" s="4"/>
      <c r="AR108" s="4"/>
      <c r="AS108" s="4"/>
      <c r="AT108" s="2"/>
    </row>
    <row r="109" spans="1:48" ht="18" customHeight="1" x14ac:dyDescent="0.25">
      <c r="A109" s="4"/>
      <c r="B109" s="4"/>
      <c r="D109" s="4"/>
      <c r="E109" s="4"/>
      <c r="F109" s="4"/>
      <c r="I109" s="4"/>
      <c r="J109" s="2"/>
      <c r="K109" s="4"/>
      <c r="M109" s="4"/>
      <c r="N109" s="4"/>
      <c r="O109" s="4"/>
      <c r="R109" s="4"/>
      <c r="S109" s="4"/>
      <c r="T109" s="4"/>
      <c r="V109" s="10"/>
      <c r="W109" s="4"/>
      <c r="Y109" s="10"/>
      <c r="Z109" s="4"/>
      <c r="AB109" s="10"/>
      <c r="AC109" s="4"/>
      <c r="AE109" s="10"/>
      <c r="AF109" s="4"/>
      <c r="AH109" s="10"/>
      <c r="AI109" s="4"/>
      <c r="AK109" s="4"/>
      <c r="AL109" s="4"/>
      <c r="AM109" s="4"/>
      <c r="AN109" s="4"/>
      <c r="AO109" s="4"/>
      <c r="AP109" s="4"/>
      <c r="AQ109" s="4"/>
      <c r="AR109" s="4"/>
      <c r="AS109" s="4"/>
      <c r="AT109" s="2"/>
    </row>
    <row r="110" spans="1:48" ht="18" customHeight="1" x14ac:dyDescent="0.25">
      <c r="A110" s="4"/>
      <c r="B110" s="4"/>
      <c r="D110" s="4"/>
      <c r="E110" s="4"/>
      <c r="F110" s="4"/>
      <c r="I110" s="4"/>
      <c r="J110" s="2"/>
      <c r="K110" s="4"/>
      <c r="M110" s="4"/>
      <c r="N110" s="4"/>
      <c r="O110" s="4"/>
      <c r="R110" s="4"/>
      <c r="S110" s="4"/>
      <c r="T110" s="4"/>
      <c r="V110" s="10"/>
      <c r="W110" s="4"/>
      <c r="Y110" s="10"/>
      <c r="Z110" s="4"/>
      <c r="AB110" s="10"/>
      <c r="AC110" s="4"/>
      <c r="AE110" s="10"/>
      <c r="AF110" s="4"/>
      <c r="AH110" s="10"/>
      <c r="AI110" s="4"/>
      <c r="AK110" s="4"/>
      <c r="AL110" s="4"/>
      <c r="AM110" s="4"/>
      <c r="AN110" s="4"/>
      <c r="AO110" s="4"/>
      <c r="AP110" s="4"/>
      <c r="AQ110" s="4"/>
      <c r="AR110" s="4"/>
      <c r="AS110" s="4"/>
      <c r="AT110" s="2"/>
    </row>
    <row r="111" spans="1:48" ht="18" customHeight="1" x14ac:dyDescent="0.25">
      <c r="A111" s="4"/>
      <c r="B111" s="4"/>
      <c r="D111" s="4"/>
      <c r="E111" s="4"/>
      <c r="F111" s="4"/>
      <c r="I111" s="4"/>
      <c r="J111" s="2"/>
      <c r="K111" s="4"/>
      <c r="M111" s="4"/>
      <c r="N111" s="4"/>
      <c r="O111" s="4"/>
      <c r="R111" s="4"/>
      <c r="S111" s="4"/>
      <c r="T111" s="4"/>
      <c r="V111" s="10"/>
      <c r="W111" s="4"/>
      <c r="Y111" s="10"/>
      <c r="Z111" s="4"/>
      <c r="AB111" s="10"/>
      <c r="AC111" s="4"/>
      <c r="AE111" s="10"/>
      <c r="AF111" s="4"/>
      <c r="AH111" s="10"/>
      <c r="AI111" s="4"/>
      <c r="AK111" s="4"/>
      <c r="AL111" s="4"/>
      <c r="AM111" s="4"/>
      <c r="AN111" s="4"/>
      <c r="AO111" s="4"/>
      <c r="AP111" s="4"/>
      <c r="AQ111" s="4"/>
      <c r="AR111" s="4"/>
      <c r="AS111" s="4"/>
      <c r="AT111" s="2"/>
    </row>
    <row r="112" spans="1:48" ht="18" customHeight="1" x14ac:dyDescent="0.25">
      <c r="A112" s="4"/>
      <c r="B112" s="4"/>
      <c r="D112" s="4"/>
      <c r="E112" s="4"/>
      <c r="F112" s="4"/>
      <c r="I112" s="4"/>
      <c r="J112" s="2"/>
      <c r="K112" s="4"/>
      <c r="M112" s="4"/>
      <c r="N112" s="4"/>
      <c r="O112" s="4"/>
      <c r="R112" s="4"/>
      <c r="S112" s="4"/>
      <c r="T112" s="4"/>
      <c r="V112" s="10"/>
      <c r="W112" s="4"/>
      <c r="Y112" s="10"/>
      <c r="Z112" s="4"/>
      <c r="AB112" s="10"/>
      <c r="AC112" s="4"/>
      <c r="AE112" s="10"/>
      <c r="AF112" s="4"/>
      <c r="AH112" s="10"/>
      <c r="AI112" s="4"/>
      <c r="AK112" s="4"/>
      <c r="AL112" s="4"/>
      <c r="AM112" s="4"/>
      <c r="AN112" s="4"/>
      <c r="AO112" s="4"/>
      <c r="AP112" s="4"/>
      <c r="AQ112" s="4"/>
      <c r="AR112" s="4"/>
      <c r="AS112" s="4"/>
      <c r="AT112" s="2"/>
    </row>
    <row r="113" spans="1:46" ht="18" customHeight="1" x14ac:dyDescent="0.25">
      <c r="A113" s="4"/>
      <c r="B113" s="4"/>
      <c r="D113" s="4"/>
      <c r="E113" s="4"/>
      <c r="F113" s="4"/>
      <c r="I113" s="4"/>
      <c r="J113" s="2"/>
      <c r="K113" s="4"/>
      <c r="M113" s="4"/>
      <c r="N113" s="4"/>
      <c r="O113" s="4"/>
      <c r="R113" s="4"/>
      <c r="S113" s="4"/>
      <c r="T113" s="4"/>
      <c r="V113" s="10"/>
      <c r="W113" s="4"/>
      <c r="Y113" s="10"/>
      <c r="Z113" s="4"/>
      <c r="AB113" s="10"/>
      <c r="AC113" s="4"/>
      <c r="AE113" s="10"/>
      <c r="AF113" s="4"/>
      <c r="AH113" s="10"/>
      <c r="AI113" s="4"/>
      <c r="AK113" s="4"/>
      <c r="AL113" s="4"/>
      <c r="AM113" s="4"/>
      <c r="AN113" s="4"/>
      <c r="AO113" s="4"/>
      <c r="AP113" s="4"/>
      <c r="AQ113" s="4"/>
      <c r="AR113" s="4"/>
      <c r="AS113" s="4"/>
      <c r="AT113" s="2"/>
    </row>
    <row r="114" spans="1:46" ht="18" customHeight="1" x14ac:dyDescent="0.25">
      <c r="A114" s="4"/>
      <c r="B114" s="4"/>
      <c r="D114" s="4"/>
      <c r="E114" s="4"/>
      <c r="F114" s="4"/>
      <c r="I114" s="4"/>
      <c r="J114" s="2"/>
      <c r="K114" s="4"/>
      <c r="M114" s="4"/>
      <c r="N114" s="4"/>
      <c r="O114" s="4"/>
      <c r="R114" s="4"/>
      <c r="S114" s="4"/>
      <c r="T114" s="4"/>
      <c r="V114" s="10"/>
      <c r="W114" s="4"/>
      <c r="Y114" s="10"/>
      <c r="Z114" s="4"/>
      <c r="AB114" s="10"/>
      <c r="AC114" s="4"/>
      <c r="AE114" s="10"/>
      <c r="AF114" s="4"/>
      <c r="AH114" s="10"/>
      <c r="AI114" s="4"/>
      <c r="AK114" s="4"/>
      <c r="AL114" s="4"/>
      <c r="AM114" s="4"/>
      <c r="AN114" s="4"/>
      <c r="AO114" s="4"/>
      <c r="AP114" s="4"/>
      <c r="AQ114" s="4"/>
      <c r="AR114" s="4"/>
      <c r="AS114" s="4"/>
      <c r="AT114" s="2"/>
    </row>
    <row r="115" spans="1:46" ht="18" customHeight="1" x14ac:dyDescent="0.25">
      <c r="A115" s="4"/>
      <c r="B115" s="4"/>
      <c r="D115" s="4"/>
      <c r="E115" s="4"/>
      <c r="F115" s="4"/>
      <c r="I115" s="4"/>
      <c r="J115" s="2"/>
      <c r="K115" s="4"/>
      <c r="M115" s="4"/>
      <c r="N115" s="4"/>
      <c r="O115" s="4"/>
      <c r="R115" s="4"/>
      <c r="S115" s="4"/>
      <c r="T115" s="4"/>
      <c r="V115" s="10"/>
      <c r="W115" s="4"/>
      <c r="Y115" s="10"/>
      <c r="Z115" s="4"/>
      <c r="AB115" s="10"/>
      <c r="AC115" s="4"/>
      <c r="AE115" s="10"/>
      <c r="AF115" s="4"/>
      <c r="AH115" s="10"/>
      <c r="AI115" s="4"/>
      <c r="AK115" s="4"/>
      <c r="AL115" s="4"/>
      <c r="AM115" s="4"/>
      <c r="AN115" s="4"/>
      <c r="AO115" s="4"/>
      <c r="AP115" s="4"/>
      <c r="AQ115" s="4"/>
      <c r="AR115" s="4"/>
      <c r="AS115" s="4"/>
      <c r="AT115" s="2"/>
    </row>
    <row r="116" spans="1:46" ht="18" customHeight="1" x14ac:dyDescent="0.25">
      <c r="A116" s="4"/>
      <c r="B116" s="4"/>
      <c r="D116" s="4"/>
      <c r="E116" s="4"/>
      <c r="F116" s="4"/>
      <c r="I116" s="4"/>
      <c r="J116" s="2"/>
      <c r="K116" s="4"/>
      <c r="M116" s="4"/>
      <c r="N116" s="4"/>
      <c r="O116" s="4"/>
      <c r="R116" s="4"/>
      <c r="S116" s="4"/>
      <c r="T116" s="4"/>
      <c r="V116" s="10"/>
      <c r="W116" s="4"/>
      <c r="Y116" s="10"/>
      <c r="Z116" s="4"/>
      <c r="AB116" s="10"/>
      <c r="AC116" s="4"/>
      <c r="AE116" s="10"/>
      <c r="AF116" s="4"/>
      <c r="AH116" s="10"/>
      <c r="AI116" s="4"/>
      <c r="AK116" s="4"/>
      <c r="AL116" s="4"/>
      <c r="AM116" s="4"/>
      <c r="AN116" s="4"/>
      <c r="AO116" s="4"/>
      <c r="AP116" s="4"/>
      <c r="AQ116" s="4"/>
      <c r="AR116" s="4"/>
      <c r="AS116" s="4"/>
      <c r="AT116" s="2"/>
    </row>
    <row r="117" spans="1:46" ht="18" customHeight="1" x14ac:dyDescent="0.25">
      <c r="A117" s="4"/>
      <c r="B117" s="4"/>
      <c r="D117" s="4"/>
      <c r="E117" s="4"/>
      <c r="F117" s="4"/>
      <c r="I117" s="4"/>
      <c r="J117" s="2"/>
      <c r="K117" s="4"/>
      <c r="M117" s="4"/>
      <c r="N117" s="4"/>
      <c r="O117" s="4"/>
      <c r="R117" s="4"/>
      <c r="S117" s="4"/>
      <c r="T117" s="4"/>
      <c r="V117" s="10"/>
      <c r="W117" s="4"/>
      <c r="Y117" s="10"/>
      <c r="Z117" s="4"/>
      <c r="AB117" s="10"/>
      <c r="AC117" s="4"/>
      <c r="AE117" s="10"/>
      <c r="AF117" s="4"/>
      <c r="AH117" s="10"/>
      <c r="AI117" s="4"/>
      <c r="AK117" s="4"/>
      <c r="AL117" s="4"/>
      <c r="AM117" s="4"/>
      <c r="AN117" s="4"/>
      <c r="AO117" s="4"/>
      <c r="AP117" s="4"/>
      <c r="AQ117" s="4"/>
      <c r="AR117" s="4"/>
      <c r="AS117" s="4"/>
      <c r="AT117" s="2"/>
    </row>
    <row r="118" spans="1:46" ht="18" customHeight="1" x14ac:dyDescent="0.25">
      <c r="A118" s="4"/>
      <c r="B118" s="4"/>
      <c r="D118" s="4"/>
      <c r="E118" s="4"/>
      <c r="F118" s="4"/>
      <c r="I118" s="4"/>
      <c r="J118" s="2"/>
      <c r="K118" s="4"/>
      <c r="M118" s="4"/>
      <c r="N118" s="4"/>
      <c r="O118" s="4"/>
      <c r="R118" s="4"/>
      <c r="S118" s="4"/>
      <c r="T118" s="4"/>
      <c r="V118" s="10"/>
      <c r="W118" s="4"/>
      <c r="Y118" s="10"/>
      <c r="Z118" s="4"/>
      <c r="AB118" s="10"/>
      <c r="AC118" s="4"/>
      <c r="AE118" s="10"/>
      <c r="AF118" s="4"/>
      <c r="AH118" s="10"/>
      <c r="AI118" s="4"/>
      <c r="AK118" s="4"/>
      <c r="AL118" s="4"/>
      <c r="AM118" s="4"/>
      <c r="AN118" s="4"/>
      <c r="AO118" s="4"/>
      <c r="AP118" s="4"/>
      <c r="AQ118" s="4"/>
      <c r="AR118" s="4"/>
      <c r="AS118" s="4"/>
      <c r="AT118" s="2"/>
    </row>
    <row r="119" spans="1:46" ht="18" customHeight="1" x14ac:dyDescent="0.25">
      <c r="A119" s="4"/>
      <c r="B119" s="4"/>
      <c r="D119" s="4"/>
      <c r="E119" s="4"/>
      <c r="F119" s="4"/>
      <c r="I119" s="4"/>
      <c r="J119" s="2"/>
      <c r="K119" s="4"/>
      <c r="M119" s="4"/>
      <c r="N119" s="4"/>
      <c r="O119" s="4"/>
      <c r="R119" s="4"/>
      <c r="S119" s="4"/>
      <c r="T119" s="4"/>
      <c r="V119" s="10"/>
      <c r="W119" s="4"/>
      <c r="Y119" s="10"/>
      <c r="Z119" s="4"/>
      <c r="AB119" s="10"/>
      <c r="AC119" s="4"/>
      <c r="AE119" s="10"/>
      <c r="AF119" s="4"/>
      <c r="AH119" s="10"/>
      <c r="AI119" s="4"/>
      <c r="AK119" s="4"/>
      <c r="AL119" s="4"/>
      <c r="AM119" s="4"/>
      <c r="AN119" s="4"/>
      <c r="AO119" s="4"/>
      <c r="AP119" s="4"/>
      <c r="AQ119" s="4"/>
      <c r="AR119" s="4"/>
      <c r="AS119" s="4"/>
      <c r="AT119" s="2"/>
    </row>
    <row r="120" spans="1:46" ht="18" customHeight="1" x14ac:dyDescent="0.25">
      <c r="A120" s="4"/>
      <c r="B120" s="4"/>
      <c r="D120" s="4"/>
      <c r="E120" s="4"/>
      <c r="F120" s="4"/>
      <c r="I120" s="4"/>
      <c r="J120" s="2"/>
      <c r="K120" s="4"/>
      <c r="M120" s="4"/>
      <c r="N120" s="4"/>
      <c r="O120" s="4"/>
      <c r="R120" s="4"/>
      <c r="S120" s="4"/>
      <c r="T120" s="4"/>
      <c r="V120" s="10"/>
      <c r="W120" s="4"/>
      <c r="Y120" s="10"/>
      <c r="Z120" s="4"/>
      <c r="AB120" s="10"/>
      <c r="AC120" s="4"/>
      <c r="AE120" s="10"/>
      <c r="AF120" s="4"/>
      <c r="AH120" s="10"/>
      <c r="AI120" s="4"/>
      <c r="AK120" s="4"/>
      <c r="AL120" s="4"/>
      <c r="AM120" s="4"/>
      <c r="AN120" s="4"/>
      <c r="AO120" s="4"/>
      <c r="AP120" s="4"/>
      <c r="AQ120" s="4"/>
      <c r="AR120" s="4"/>
      <c r="AS120" s="4"/>
      <c r="AT120" s="2"/>
    </row>
    <row r="121" spans="1:46" ht="18" customHeight="1" x14ac:dyDescent="0.25">
      <c r="A121" s="4"/>
      <c r="B121" s="4"/>
      <c r="D121" s="4"/>
      <c r="E121" s="4"/>
      <c r="F121" s="4"/>
      <c r="I121" s="4"/>
      <c r="J121" s="2"/>
      <c r="K121" s="4"/>
      <c r="M121" s="4"/>
      <c r="N121" s="4"/>
      <c r="O121" s="4"/>
      <c r="R121" s="4"/>
      <c r="S121" s="4"/>
      <c r="T121" s="4"/>
      <c r="V121" s="10"/>
      <c r="W121" s="4"/>
      <c r="Y121" s="10"/>
      <c r="Z121" s="4"/>
      <c r="AB121" s="10"/>
      <c r="AC121" s="4"/>
      <c r="AE121" s="10"/>
      <c r="AF121" s="4"/>
      <c r="AH121" s="10"/>
      <c r="AI121" s="4"/>
      <c r="AK121" s="4"/>
      <c r="AL121" s="4"/>
      <c r="AM121" s="4"/>
      <c r="AN121" s="4"/>
      <c r="AO121" s="4"/>
      <c r="AP121" s="4"/>
      <c r="AQ121" s="4"/>
      <c r="AR121" s="4"/>
      <c r="AS121" s="4"/>
      <c r="AT121" s="2"/>
    </row>
    <row r="122" spans="1:46" ht="18" customHeight="1" x14ac:dyDescent="0.25">
      <c r="A122" s="4"/>
      <c r="B122" s="4"/>
      <c r="D122" s="4"/>
      <c r="E122" s="4"/>
      <c r="F122" s="4"/>
      <c r="I122" s="4"/>
      <c r="J122" s="2"/>
      <c r="K122" s="4"/>
      <c r="M122" s="4"/>
      <c r="N122" s="4"/>
      <c r="O122" s="4"/>
      <c r="R122" s="4"/>
      <c r="S122" s="4"/>
      <c r="T122" s="4"/>
      <c r="V122" s="10"/>
      <c r="W122" s="4"/>
      <c r="Y122" s="10"/>
      <c r="Z122" s="4"/>
      <c r="AB122" s="10"/>
      <c r="AC122" s="4"/>
      <c r="AE122" s="10"/>
      <c r="AF122" s="4"/>
      <c r="AH122" s="10"/>
      <c r="AI122" s="4"/>
      <c r="AK122" s="4"/>
      <c r="AL122" s="4"/>
      <c r="AM122" s="4"/>
      <c r="AN122" s="4"/>
      <c r="AO122" s="4"/>
      <c r="AP122" s="4"/>
      <c r="AQ122" s="4"/>
      <c r="AR122" s="4"/>
      <c r="AS122" s="4"/>
      <c r="AT122" s="2"/>
    </row>
    <row r="123" spans="1:46" ht="18" customHeight="1" x14ac:dyDescent="0.25">
      <c r="A123" s="4"/>
      <c r="B123" s="4"/>
      <c r="D123" s="4"/>
      <c r="E123" s="4"/>
      <c r="F123" s="4"/>
      <c r="I123" s="4"/>
      <c r="J123" s="2"/>
      <c r="K123" s="4"/>
      <c r="M123" s="4"/>
      <c r="N123" s="4"/>
      <c r="O123" s="4"/>
      <c r="R123" s="4"/>
      <c r="S123" s="4"/>
      <c r="T123" s="4"/>
      <c r="V123" s="10"/>
      <c r="W123" s="4"/>
      <c r="Y123" s="10"/>
      <c r="Z123" s="4"/>
      <c r="AB123" s="10"/>
      <c r="AC123" s="4"/>
      <c r="AE123" s="10"/>
      <c r="AF123" s="4"/>
      <c r="AH123" s="10"/>
      <c r="AI123" s="4"/>
      <c r="AK123" s="4"/>
      <c r="AL123" s="4"/>
      <c r="AM123" s="4"/>
      <c r="AN123" s="4"/>
      <c r="AO123" s="4"/>
      <c r="AP123" s="4"/>
      <c r="AQ123" s="4"/>
      <c r="AR123" s="4"/>
      <c r="AS123" s="4"/>
      <c r="AT123" s="2"/>
    </row>
    <row r="124" spans="1:46" ht="18" customHeight="1" x14ac:dyDescent="0.25">
      <c r="A124" s="4"/>
      <c r="B124" s="4"/>
      <c r="D124" s="4"/>
      <c r="E124" s="4"/>
      <c r="F124" s="4"/>
      <c r="I124" s="4"/>
      <c r="J124" s="2"/>
      <c r="K124" s="4"/>
      <c r="M124" s="4"/>
      <c r="N124" s="4"/>
      <c r="O124" s="4"/>
      <c r="R124" s="4"/>
      <c r="S124" s="4"/>
      <c r="T124" s="4"/>
      <c r="V124" s="10"/>
      <c r="W124" s="4"/>
      <c r="Y124" s="10"/>
      <c r="Z124" s="4"/>
      <c r="AB124" s="10"/>
      <c r="AC124" s="4"/>
      <c r="AE124" s="10"/>
      <c r="AF124" s="4"/>
      <c r="AH124" s="10"/>
      <c r="AI124" s="4"/>
      <c r="AK124" s="4"/>
      <c r="AL124" s="4"/>
      <c r="AM124" s="4"/>
      <c r="AN124" s="4"/>
      <c r="AO124" s="4"/>
      <c r="AP124" s="4"/>
      <c r="AQ124" s="4"/>
      <c r="AR124" s="4"/>
      <c r="AS124" s="4"/>
      <c r="AT124" s="2"/>
    </row>
    <row r="125" spans="1:46" ht="18" customHeight="1" x14ac:dyDescent="0.25">
      <c r="A125" s="4"/>
      <c r="B125" s="4"/>
      <c r="D125" s="4"/>
      <c r="E125" s="4"/>
      <c r="F125" s="4"/>
      <c r="I125" s="4"/>
      <c r="J125" s="2"/>
      <c r="K125" s="4"/>
      <c r="M125" s="4"/>
      <c r="N125" s="4"/>
      <c r="O125" s="4"/>
      <c r="R125" s="4"/>
      <c r="S125" s="4"/>
      <c r="T125" s="4"/>
      <c r="V125" s="10"/>
      <c r="W125" s="4"/>
      <c r="Y125" s="10"/>
      <c r="Z125" s="4"/>
      <c r="AB125" s="10"/>
      <c r="AC125" s="4"/>
      <c r="AE125" s="10"/>
      <c r="AF125" s="4"/>
      <c r="AH125" s="10"/>
      <c r="AI125" s="4"/>
      <c r="AK125" s="4"/>
      <c r="AL125" s="4"/>
      <c r="AM125" s="4"/>
      <c r="AN125" s="4"/>
      <c r="AO125" s="4"/>
      <c r="AP125" s="4"/>
      <c r="AQ125" s="4"/>
      <c r="AR125" s="4"/>
      <c r="AS125" s="4"/>
      <c r="AT125" s="2"/>
    </row>
    <row r="126" spans="1:46" ht="18" customHeight="1" x14ac:dyDescent="0.25">
      <c r="A126" s="4"/>
      <c r="B126" s="4"/>
      <c r="D126" s="4"/>
      <c r="E126" s="4"/>
      <c r="F126" s="4"/>
      <c r="I126" s="4"/>
      <c r="J126" s="2"/>
      <c r="K126" s="4"/>
      <c r="M126" s="4"/>
      <c r="N126" s="4"/>
      <c r="O126" s="4"/>
      <c r="R126" s="4"/>
      <c r="S126" s="4"/>
      <c r="T126" s="4"/>
      <c r="V126" s="10"/>
      <c r="W126" s="4"/>
      <c r="Y126" s="10"/>
      <c r="Z126" s="4"/>
      <c r="AB126" s="10"/>
      <c r="AC126" s="4"/>
      <c r="AE126" s="10"/>
      <c r="AF126" s="4"/>
      <c r="AH126" s="10"/>
      <c r="AI126" s="4"/>
      <c r="AK126" s="4"/>
      <c r="AL126" s="4"/>
      <c r="AM126" s="4"/>
      <c r="AN126" s="4"/>
      <c r="AO126" s="4"/>
      <c r="AP126" s="4"/>
      <c r="AQ126" s="4"/>
      <c r="AR126" s="4"/>
      <c r="AS126" s="4"/>
      <c r="AT126" s="2"/>
    </row>
    <row r="127" spans="1:46" ht="18" customHeight="1" x14ac:dyDescent="0.25">
      <c r="A127" s="4"/>
      <c r="B127" s="4"/>
      <c r="D127" s="4"/>
      <c r="E127" s="4"/>
      <c r="F127" s="4"/>
      <c r="I127" s="4"/>
      <c r="J127" s="2"/>
      <c r="K127" s="4"/>
      <c r="M127" s="4"/>
      <c r="N127" s="4"/>
      <c r="O127" s="4"/>
      <c r="R127" s="4"/>
      <c r="S127" s="4"/>
      <c r="T127" s="4"/>
      <c r="V127" s="10"/>
      <c r="W127" s="4"/>
      <c r="Y127" s="10"/>
      <c r="Z127" s="4"/>
      <c r="AB127" s="10"/>
      <c r="AC127" s="4"/>
      <c r="AE127" s="10"/>
      <c r="AF127" s="4"/>
      <c r="AH127" s="10"/>
      <c r="AI127" s="4"/>
      <c r="AK127" s="4"/>
      <c r="AL127" s="4"/>
      <c r="AM127" s="4"/>
      <c r="AN127" s="4"/>
      <c r="AO127" s="4"/>
      <c r="AP127" s="4"/>
      <c r="AQ127" s="4"/>
      <c r="AR127" s="4"/>
      <c r="AS127" s="4"/>
      <c r="AT127" s="2"/>
    </row>
    <row r="128" spans="1:46" ht="18" customHeight="1" x14ac:dyDescent="0.25">
      <c r="A128" s="4"/>
      <c r="B128" s="4"/>
      <c r="D128" s="4"/>
      <c r="E128" s="4"/>
      <c r="F128" s="4"/>
      <c r="I128" s="4"/>
      <c r="J128" s="2"/>
      <c r="K128" s="4"/>
      <c r="M128" s="4"/>
      <c r="N128" s="4"/>
      <c r="O128" s="4"/>
      <c r="R128" s="4"/>
      <c r="S128" s="4"/>
      <c r="T128" s="4"/>
      <c r="V128" s="10"/>
      <c r="W128" s="4"/>
      <c r="Y128" s="10"/>
      <c r="Z128" s="4"/>
      <c r="AB128" s="10"/>
      <c r="AC128" s="4"/>
      <c r="AE128" s="10"/>
      <c r="AF128" s="4"/>
      <c r="AH128" s="10"/>
      <c r="AI128" s="4"/>
      <c r="AK128" s="4"/>
      <c r="AL128" s="4"/>
      <c r="AM128" s="4"/>
      <c r="AN128" s="4"/>
      <c r="AO128" s="4"/>
      <c r="AP128" s="4"/>
      <c r="AQ128" s="4"/>
      <c r="AR128" s="4"/>
      <c r="AS128" s="4"/>
      <c r="AT128" s="2"/>
    </row>
    <row r="129" spans="1:46" ht="18" customHeight="1" x14ac:dyDescent="0.25">
      <c r="A129" s="4"/>
      <c r="B129" s="4"/>
      <c r="D129" s="4"/>
      <c r="E129" s="4"/>
      <c r="F129" s="4"/>
      <c r="I129" s="4"/>
      <c r="J129" s="2"/>
      <c r="K129" s="4"/>
      <c r="M129" s="4"/>
      <c r="N129" s="4"/>
      <c r="O129" s="4"/>
      <c r="R129" s="4"/>
      <c r="S129" s="4"/>
      <c r="T129" s="4"/>
      <c r="V129" s="10"/>
      <c r="W129" s="4"/>
      <c r="Y129" s="10"/>
      <c r="Z129" s="4"/>
      <c r="AB129" s="10"/>
      <c r="AC129" s="4"/>
      <c r="AE129" s="10"/>
      <c r="AF129" s="4"/>
      <c r="AH129" s="10"/>
      <c r="AI129" s="4"/>
      <c r="AK129" s="4"/>
      <c r="AL129" s="4"/>
      <c r="AM129" s="4"/>
      <c r="AN129" s="4"/>
      <c r="AO129" s="4"/>
      <c r="AP129" s="4"/>
      <c r="AQ129" s="4"/>
      <c r="AR129" s="4"/>
      <c r="AS129" s="4"/>
      <c r="AT129" s="2"/>
    </row>
    <row r="130" spans="1:46" ht="18" customHeight="1" x14ac:dyDescent="0.25">
      <c r="A130" s="4"/>
      <c r="B130" s="4"/>
      <c r="D130" s="4"/>
      <c r="E130" s="4"/>
      <c r="F130" s="4"/>
      <c r="I130" s="4"/>
      <c r="J130" s="2"/>
      <c r="K130" s="4"/>
      <c r="M130" s="4"/>
      <c r="N130" s="4"/>
      <c r="O130" s="4"/>
      <c r="R130" s="4"/>
      <c r="S130" s="4"/>
      <c r="T130" s="4"/>
      <c r="V130" s="10"/>
      <c r="W130" s="4"/>
      <c r="Y130" s="10"/>
      <c r="Z130" s="4"/>
      <c r="AB130" s="10"/>
      <c r="AC130" s="4"/>
      <c r="AE130" s="10"/>
      <c r="AF130" s="4"/>
      <c r="AH130" s="10"/>
      <c r="AI130" s="4"/>
      <c r="AK130" s="4"/>
      <c r="AL130" s="4"/>
      <c r="AM130" s="4"/>
      <c r="AN130" s="4"/>
      <c r="AO130" s="4"/>
      <c r="AP130" s="4"/>
      <c r="AQ130" s="4"/>
      <c r="AR130" s="4"/>
      <c r="AS130" s="4"/>
      <c r="AT130" s="2"/>
    </row>
    <row r="131" spans="1:46" ht="18" customHeight="1" x14ac:dyDescent="0.25">
      <c r="A131" s="4"/>
      <c r="B131" s="4"/>
      <c r="D131" s="4"/>
      <c r="E131" s="4"/>
      <c r="F131" s="4"/>
      <c r="I131" s="4"/>
      <c r="J131" s="2"/>
      <c r="K131" s="4"/>
      <c r="M131" s="4"/>
      <c r="N131" s="4"/>
      <c r="O131" s="4"/>
      <c r="R131" s="4"/>
      <c r="S131" s="4"/>
      <c r="T131" s="4"/>
      <c r="V131" s="10"/>
      <c r="W131" s="4"/>
      <c r="Y131" s="10"/>
      <c r="Z131" s="4"/>
      <c r="AB131" s="10"/>
      <c r="AC131" s="4"/>
      <c r="AE131" s="10"/>
      <c r="AF131" s="4"/>
      <c r="AH131" s="10"/>
      <c r="AI131" s="4"/>
      <c r="AK131" s="4"/>
      <c r="AL131" s="4"/>
      <c r="AM131" s="4"/>
      <c r="AN131" s="4"/>
      <c r="AO131" s="4"/>
      <c r="AP131" s="4"/>
      <c r="AQ131" s="4"/>
      <c r="AR131" s="4"/>
      <c r="AS131" s="4"/>
      <c r="AT131" s="2"/>
    </row>
    <row r="132" spans="1:46" ht="18" customHeight="1" x14ac:dyDescent="0.25">
      <c r="A132" s="4"/>
      <c r="B132" s="4"/>
      <c r="D132" s="4"/>
      <c r="E132" s="4"/>
      <c r="F132" s="4"/>
      <c r="I132" s="4"/>
      <c r="J132" s="2"/>
      <c r="K132" s="4"/>
      <c r="M132" s="4"/>
      <c r="N132" s="4"/>
      <c r="O132" s="4"/>
      <c r="R132" s="4"/>
      <c r="S132" s="4"/>
      <c r="T132" s="4"/>
      <c r="V132" s="10"/>
      <c r="W132" s="4"/>
      <c r="Y132" s="10"/>
      <c r="Z132" s="4"/>
      <c r="AB132" s="10"/>
      <c r="AC132" s="4"/>
      <c r="AE132" s="10"/>
      <c r="AF132" s="4"/>
      <c r="AH132" s="10"/>
      <c r="AI132" s="4"/>
      <c r="AK132" s="4"/>
      <c r="AL132" s="4"/>
      <c r="AM132" s="4"/>
      <c r="AN132" s="4"/>
      <c r="AO132" s="4"/>
      <c r="AP132" s="4"/>
      <c r="AQ132" s="4"/>
      <c r="AR132" s="4"/>
      <c r="AS132" s="4"/>
      <c r="AT132" s="2"/>
    </row>
    <row r="133" spans="1:46" ht="18" customHeight="1" x14ac:dyDescent="0.25">
      <c r="A133" s="4"/>
      <c r="B133" s="4"/>
      <c r="D133" s="4"/>
      <c r="E133" s="4"/>
      <c r="F133" s="4"/>
      <c r="I133" s="4"/>
      <c r="J133" s="2"/>
      <c r="K133" s="4"/>
      <c r="M133" s="4"/>
      <c r="N133" s="4"/>
      <c r="O133" s="4"/>
      <c r="R133" s="4"/>
      <c r="S133" s="4"/>
      <c r="T133" s="4"/>
      <c r="V133" s="10"/>
      <c r="W133" s="4"/>
      <c r="Y133" s="10"/>
      <c r="Z133" s="4"/>
      <c r="AB133" s="10"/>
      <c r="AC133" s="4"/>
      <c r="AE133" s="10"/>
      <c r="AF133" s="4"/>
      <c r="AH133" s="10"/>
      <c r="AI133" s="4"/>
      <c r="AK133" s="4"/>
      <c r="AL133" s="4"/>
      <c r="AM133" s="4"/>
      <c r="AN133" s="4"/>
      <c r="AO133" s="4"/>
      <c r="AP133" s="4"/>
      <c r="AQ133" s="4"/>
      <c r="AR133" s="4"/>
      <c r="AS133" s="4"/>
      <c r="AT133" s="2"/>
    </row>
    <row r="134" spans="1:46" ht="18" customHeight="1" x14ac:dyDescent="0.25">
      <c r="A134" s="4"/>
      <c r="B134" s="4"/>
      <c r="D134" s="4"/>
      <c r="E134" s="4"/>
      <c r="F134" s="4"/>
      <c r="I134" s="4"/>
      <c r="J134" s="2"/>
      <c r="K134" s="4"/>
      <c r="M134" s="4"/>
      <c r="N134" s="4"/>
      <c r="O134" s="4"/>
      <c r="R134" s="4"/>
      <c r="S134" s="4"/>
      <c r="T134" s="4"/>
      <c r="V134" s="10"/>
      <c r="W134" s="4"/>
      <c r="Y134" s="10"/>
      <c r="Z134" s="4"/>
      <c r="AB134" s="10"/>
      <c r="AC134" s="4"/>
      <c r="AE134" s="10"/>
      <c r="AF134" s="4"/>
      <c r="AH134" s="10"/>
      <c r="AI134" s="4"/>
      <c r="AK134" s="4"/>
      <c r="AL134" s="4"/>
      <c r="AM134" s="4"/>
      <c r="AN134" s="4"/>
      <c r="AO134" s="4"/>
      <c r="AP134" s="4"/>
      <c r="AQ134" s="4"/>
      <c r="AR134" s="4"/>
      <c r="AS134" s="4"/>
      <c r="AT134" s="2"/>
    </row>
    <row r="135" spans="1:46" ht="18" customHeight="1" x14ac:dyDescent="0.25">
      <c r="A135" s="4"/>
      <c r="B135" s="4"/>
      <c r="D135" s="4"/>
      <c r="E135" s="4"/>
      <c r="F135" s="4"/>
      <c r="I135" s="4"/>
      <c r="J135" s="2"/>
      <c r="K135" s="4"/>
      <c r="M135" s="4"/>
      <c r="N135" s="4"/>
      <c r="O135" s="4"/>
      <c r="R135" s="4"/>
      <c r="S135" s="4"/>
      <c r="T135" s="4"/>
      <c r="V135" s="10"/>
      <c r="W135" s="4"/>
      <c r="Y135" s="10"/>
      <c r="Z135" s="4"/>
      <c r="AB135" s="10"/>
      <c r="AC135" s="4"/>
      <c r="AE135" s="10"/>
      <c r="AF135" s="4"/>
      <c r="AH135" s="10"/>
      <c r="AI135" s="4"/>
      <c r="AK135" s="4"/>
      <c r="AL135" s="4"/>
      <c r="AM135" s="4"/>
      <c r="AN135" s="4"/>
      <c r="AO135" s="4"/>
      <c r="AP135" s="4"/>
      <c r="AQ135" s="4"/>
      <c r="AR135" s="4"/>
      <c r="AS135" s="4"/>
      <c r="AT135" s="2"/>
    </row>
    <row r="136" spans="1:46" ht="18" customHeight="1" x14ac:dyDescent="0.25">
      <c r="A136" s="4"/>
      <c r="B136" s="4"/>
      <c r="D136" s="4"/>
      <c r="E136" s="4"/>
      <c r="F136" s="4"/>
      <c r="I136" s="4"/>
      <c r="J136" s="2"/>
      <c r="K136" s="4"/>
      <c r="M136" s="4"/>
      <c r="N136" s="4"/>
      <c r="O136" s="4"/>
      <c r="R136" s="4"/>
      <c r="S136" s="4"/>
      <c r="T136" s="4"/>
      <c r="V136" s="10"/>
      <c r="W136" s="4"/>
      <c r="Y136" s="10"/>
      <c r="Z136" s="4"/>
      <c r="AB136" s="10"/>
      <c r="AC136" s="4"/>
      <c r="AE136" s="10"/>
      <c r="AF136" s="4"/>
      <c r="AH136" s="10"/>
      <c r="AI136" s="4"/>
      <c r="AK136" s="4"/>
      <c r="AL136" s="4"/>
      <c r="AM136" s="4"/>
      <c r="AN136" s="4"/>
      <c r="AO136" s="4"/>
      <c r="AP136" s="4"/>
      <c r="AQ136" s="4"/>
      <c r="AR136" s="4"/>
      <c r="AS136" s="4"/>
      <c r="AT136" s="2"/>
    </row>
    <row r="137" spans="1:46" ht="18" customHeight="1" x14ac:dyDescent="0.25">
      <c r="A137" s="4"/>
      <c r="B137" s="4"/>
      <c r="D137" s="4"/>
      <c r="E137" s="4"/>
      <c r="F137" s="4"/>
      <c r="I137" s="4"/>
      <c r="J137" s="2"/>
      <c r="K137" s="4"/>
      <c r="M137" s="4"/>
      <c r="N137" s="4"/>
      <c r="O137" s="4"/>
      <c r="R137" s="4"/>
      <c r="S137" s="4"/>
      <c r="T137" s="4"/>
      <c r="V137" s="10"/>
      <c r="W137" s="4"/>
      <c r="Y137" s="10"/>
      <c r="Z137" s="4"/>
      <c r="AB137" s="10"/>
      <c r="AC137" s="4"/>
      <c r="AE137" s="10"/>
      <c r="AF137" s="4"/>
      <c r="AH137" s="10"/>
      <c r="AI137" s="4"/>
      <c r="AK137" s="4"/>
      <c r="AL137" s="4"/>
      <c r="AM137" s="4"/>
      <c r="AN137" s="4"/>
      <c r="AO137" s="4"/>
      <c r="AP137" s="4"/>
      <c r="AQ137" s="4"/>
      <c r="AR137" s="4"/>
      <c r="AS137" s="4"/>
      <c r="AT137" s="2"/>
    </row>
    <row r="138" spans="1:46" ht="18" customHeight="1" x14ac:dyDescent="0.25">
      <c r="A138" s="4"/>
      <c r="B138" s="4"/>
      <c r="D138" s="4"/>
      <c r="E138" s="4"/>
      <c r="F138" s="4"/>
      <c r="I138" s="4"/>
      <c r="J138" s="2"/>
      <c r="K138" s="4"/>
      <c r="M138" s="4"/>
      <c r="N138" s="4"/>
      <c r="O138" s="4"/>
      <c r="R138" s="4"/>
      <c r="S138" s="4"/>
      <c r="T138" s="4"/>
      <c r="V138" s="10"/>
      <c r="W138" s="4"/>
      <c r="Y138" s="10"/>
      <c r="Z138" s="4"/>
      <c r="AB138" s="10"/>
      <c r="AC138" s="4"/>
      <c r="AE138" s="10"/>
      <c r="AF138" s="4"/>
      <c r="AH138" s="10"/>
      <c r="AI138" s="4"/>
      <c r="AK138" s="4"/>
      <c r="AL138" s="4"/>
      <c r="AM138" s="4"/>
      <c r="AN138" s="4"/>
      <c r="AO138" s="4"/>
      <c r="AP138" s="4"/>
      <c r="AQ138" s="4"/>
      <c r="AR138" s="4"/>
      <c r="AS138" s="4"/>
      <c r="AT138" s="2"/>
    </row>
    <row r="139" spans="1:46" ht="18" customHeight="1" x14ac:dyDescent="0.25">
      <c r="A139" s="4"/>
      <c r="B139" s="4"/>
      <c r="D139" s="4"/>
      <c r="E139" s="4"/>
      <c r="F139" s="4"/>
      <c r="I139" s="4"/>
      <c r="J139" s="2"/>
      <c r="K139" s="4"/>
      <c r="M139" s="4"/>
      <c r="N139" s="4"/>
      <c r="O139" s="4"/>
      <c r="R139" s="4"/>
      <c r="S139" s="4"/>
      <c r="T139" s="4"/>
      <c r="V139" s="10"/>
      <c r="W139" s="4"/>
      <c r="Y139" s="10"/>
      <c r="Z139" s="4"/>
      <c r="AB139" s="10"/>
      <c r="AC139" s="4"/>
      <c r="AE139" s="10"/>
      <c r="AF139" s="4"/>
      <c r="AH139" s="10"/>
      <c r="AI139" s="4"/>
      <c r="AK139" s="4"/>
      <c r="AL139" s="4"/>
      <c r="AM139" s="4"/>
      <c r="AN139" s="4"/>
      <c r="AO139" s="4"/>
      <c r="AP139" s="4"/>
      <c r="AQ139" s="4"/>
      <c r="AR139" s="4"/>
      <c r="AS139" s="4"/>
      <c r="AT139" s="2"/>
    </row>
    <row r="140" spans="1:46" ht="18" customHeight="1" x14ac:dyDescent="0.25">
      <c r="A140" s="4"/>
      <c r="B140" s="4"/>
      <c r="D140" s="4"/>
      <c r="E140" s="4"/>
      <c r="F140" s="4"/>
      <c r="I140" s="4"/>
      <c r="J140" s="2"/>
      <c r="K140" s="4"/>
      <c r="M140" s="4"/>
      <c r="N140" s="4"/>
      <c r="O140" s="4"/>
      <c r="R140" s="4"/>
      <c r="S140" s="4"/>
      <c r="T140" s="4"/>
      <c r="V140" s="10"/>
      <c r="W140" s="4"/>
      <c r="Y140" s="10"/>
      <c r="Z140" s="4"/>
      <c r="AB140" s="10"/>
      <c r="AC140" s="4"/>
      <c r="AE140" s="10"/>
      <c r="AF140" s="4"/>
      <c r="AH140" s="10"/>
      <c r="AI140" s="4"/>
      <c r="AK140" s="4"/>
      <c r="AL140" s="4"/>
      <c r="AM140" s="4"/>
      <c r="AN140" s="4"/>
      <c r="AO140" s="4"/>
      <c r="AP140" s="4"/>
      <c r="AQ140" s="4"/>
      <c r="AR140" s="4"/>
      <c r="AS140" s="4"/>
      <c r="AT140" s="2"/>
    </row>
    <row r="141" spans="1:46" ht="18" customHeight="1" x14ac:dyDescent="0.25">
      <c r="A141" s="4"/>
      <c r="B141" s="4"/>
      <c r="D141" s="4"/>
      <c r="E141" s="4"/>
      <c r="F141" s="4"/>
      <c r="I141" s="4"/>
      <c r="J141" s="2"/>
      <c r="K141" s="4"/>
      <c r="M141" s="4"/>
      <c r="N141" s="4"/>
      <c r="O141" s="4"/>
      <c r="R141" s="4"/>
      <c r="S141" s="4"/>
      <c r="T141" s="4"/>
      <c r="V141" s="10"/>
      <c r="W141" s="4"/>
      <c r="Y141" s="10"/>
      <c r="Z141" s="4"/>
      <c r="AB141" s="10"/>
      <c r="AC141" s="4"/>
      <c r="AE141" s="10"/>
      <c r="AF141" s="4"/>
      <c r="AH141" s="10"/>
      <c r="AI141" s="4"/>
      <c r="AK141" s="4"/>
      <c r="AL141" s="4"/>
      <c r="AM141" s="4"/>
      <c r="AN141" s="4"/>
      <c r="AO141" s="4"/>
      <c r="AP141" s="4"/>
      <c r="AQ141" s="4"/>
      <c r="AR141" s="4"/>
      <c r="AS141" s="4"/>
      <c r="AT141" s="2"/>
    </row>
    <row r="142" spans="1:46" ht="18" customHeight="1" x14ac:dyDescent="0.25">
      <c r="A142" s="4"/>
      <c r="B142" s="4"/>
      <c r="D142" s="4"/>
      <c r="E142" s="4"/>
      <c r="F142" s="4"/>
      <c r="I142" s="4"/>
      <c r="J142" s="2"/>
      <c r="K142" s="4"/>
      <c r="M142" s="4"/>
      <c r="N142" s="4"/>
      <c r="O142" s="4"/>
      <c r="R142" s="4"/>
      <c r="S142" s="4"/>
      <c r="T142" s="4"/>
      <c r="V142" s="10"/>
      <c r="W142" s="4"/>
      <c r="Y142" s="10"/>
      <c r="Z142" s="4"/>
      <c r="AB142" s="10"/>
      <c r="AC142" s="4"/>
      <c r="AE142" s="10"/>
      <c r="AF142" s="4"/>
      <c r="AH142" s="10"/>
      <c r="AI142" s="4"/>
      <c r="AK142" s="4"/>
      <c r="AL142" s="4"/>
      <c r="AM142" s="4"/>
      <c r="AN142" s="4"/>
      <c r="AO142" s="4"/>
      <c r="AP142" s="4"/>
      <c r="AQ142" s="4"/>
      <c r="AR142" s="4"/>
      <c r="AS142" s="4"/>
      <c r="AT142" s="2"/>
    </row>
    <row r="143" spans="1:46" ht="18" customHeight="1" x14ac:dyDescent="0.25">
      <c r="A143" s="4"/>
      <c r="B143" s="4"/>
      <c r="D143" s="4"/>
      <c r="E143" s="4"/>
      <c r="F143" s="4"/>
      <c r="I143" s="4"/>
      <c r="J143" s="2"/>
      <c r="K143" s="4"/>
      <c r="M143" s="4"/>
      <c r="N143" s="4"/>
      <c r="O143" s="4"/>
      <c r="R143" s="4"/>
      <c r="S143" s="4"/>
      <c r="T143" s="4"/>
      <c r="V143" s="10"/>
      <c r="W143" s="4"/>
      <c r="Y143" s="10"/>
      <c r="Z143" s="4"/>
      <c r="AB143" s="10"/>
      <c r="AC143" s="4"/>
      <c r="AE143" s="10"/>
      <c r="AF143" s="4"/>
      <c r="AH143" s="10"/>
      <c r="AI143" s="4"/>
      <c r="AK143" s="4"/>
      <c r="AL143" s="4"/>
      <c r="AM143" s="4"/>
      <c r="AN143" s="4"/>
      <c r="AO143" s="4"/>
      <c r="AP143" s="4"/>
      <c r="AQ143" s="4"/>
      <c r="AR143" s="4"/>
      <c r="AS143" s="4"/>
      <c r="AT143" s="2"/>
    </row>
    <row r="144" spans="1:46" ht="18" customHeight="1" x14ac:dyDescent="0.25">
      <c r="A144" s="4"/>
      <c r="B144" s="4"/>
      <c r="D144" s="4"/>
      <c r="E144" s="4"/>
      <c r="F144" s="4"/>
      <c r="I144" s="4"/>
      <c r="J144" s="2"/>
      <c r="K144" s="4"/>
      <c r="M144" s="4"/>
      <c r="N144" s="4"/>
      <c r="O144" s="4"/>
      <c r="R144" s="4"/>
      <c r="S144" s="4"/>
      <c r="T144" s="4"/>
      <c r="V144" s="10"/>
      <c r="W144" s="4"/>
      <c r="Y144" s="10"/>
      <c r="Z144" s="4"/>
      <c r="AB144" s="10"/>
      <c r="AC144" s="4"/>
      <c r="AE144" s="10"/>
      <c r="AF144" s="4"/>
      <c r="AH144" s="10"/>
      <c r="AI144" s="4"/>
      <c r="AK144" s="4"/>
      <c r="AL144" s="4"/>
      <c r="AM144" s="4"/>
      <c r="AN144" s="4"/>
      <c r="AO144" s="4"/>
      <c r="AP144" s="4"/>
      <c r="AQ144" s="4"/>
      <c r="AR144" s="4"/>
      <c r="AS144" s="4"/>
      <c r="AT144" s="2"/>
    </row>
    <row r="145" spans="1:46" ht="18" customHeight="1" x14ac:dyDescent="0.25">
      <c r="A145" s="4"/>
      <c r="B145" s="4"/>
      <c r="D145" s="4"/>
      <c r="E145" s="4"/>
      <c r="F145" s="4"/>
      <c r="I145" s="4"/>
      <c r="J145" s="2"/>
      <c r="K145" s="4"/>
      <c r="M145" s="4"/>
      <c r="N145" s="4"/>
      <c r="O145" s="4"/>
      <c r="R145" s="4"/>
      <c r="S145" s="4"/>
      <c r="T145" s="4"/>
      <c r="V145" s="10"/>
      <c r="W145" s="4"/>
      <c r="Y145" s="10"/>
      <c r="Z145" s="4"/>
      <c r="AB145" s="10"/>
      <c r="AC145" s="4"/>
      <c r="AE145" s="10"/>
      <c r="AF145" s="4"/>
      <c r="AH145" s="10"/>
      <c r="AI145" s="4"/>
      <c r="AK145" s="4"/>
      <c r="AL145" s="4"/>
      <c r="AM145" s="4"/>
      <c r="AN145" s="4"/>
      <c r="AO145" s="4"/>
      <c r="AP145" s="4"/>
      <c r="AQ145" s="4"/>
      <c r="AR145" s="4"/>
      <c r="AS145" s="4"/>
      <c r="AT145" s="2"/>
    </row>
    <row r="146" spans="1:46" ht="18" customHeight="1" x14ac:dyDescent="0.25">
      <c r="A146" s="4"/>
      <c r="B146" s="4"/>
      <c r="D146" s="4"/>
      <c r="E146" s="4"/>
      <c r="F146" s="4"/>
      <c r="I146" s="4"/>
      <c r="J146" s="2"/>
      <c r="K146" s="4"/>
      <c r="M146" s="4"/>
      <c r="N146" s="4"/>
      <c r="O146" s="4"/>
      <c r="R146" s="4"/>
      <c r="S146" s="4"/>
      <c r="T146" s="4"/>
      <c r="V146" s="10"/>
      <c r="W146" s="4"/>
      <c r="Y146" s="10"/>
      <c r="Z146" s="4"/>
      <c r="AB146" s="10"/>
      <c r="AC146" s="4"/>
      <c r="AE146" s="10"/>
      <c r="AF146" s="4"/>
      <c r="AH146" s="10"/>
      <c r="AI146" s="4"/>
      <c r="AK146" s="4"/>
      <c r="AL146" s="4"/>
      <c r="AM146" s="4"/>
      <c r="AN146" s="4"/>
      <c r="AO146" s="4"/>
      <c r="AP146" s="4"/>
      <c r="AQ146" s="4"/>
      <c r="AR146" s="4"/>
      <c r="AS146" s="4"/>
      <c r="AT146" s="2"/>
    </row>
    <row r="147" spans="1:46" ht="18" customHeight="1" x14ac:dyDescent="0.25">
      <c r="A147" s="4"/>
      <c r="B147" s="4"/>
      <c r="D147" s="4"/>
      <c r="E147" s="4"/>
      <c r="F147" s="4"/>
      <c r="I147" s="4"/>
      <c r="J147" s="2"/>
      <c r="K147" s="4"/>
      <c r="M147" s="4"/>
      <c r="N147" s="4"/>
      <c r="O147" s="4"/>
      <c r="R147" s="4"/>
      <c r="S147" s="4"/>
      <c r="T147" s="4"/>
      <c r="V147" s="10"/>
      <c r="W147" s="4"/>
      <c r="Y147" s="10"/>
      <c r="Z147" s="4"/>
      <c r="AB147" s="10"/>
      <c r="AC147" s="4"/>
      <c r="AE147" s="10"/>
      <c r="AF147" s="4"/>
      <c r="AH147" s="10"/>
      <c r="AI147" s="4"/>
      <c r="AK147" s="4"/>
      <c r="AL147" s="4"/>
      <c r="AM147" s="4"/>
      <c r="AN147" s="4"/>
      <c r="AO147" s="4"/>
      <c r="AP147" s="4"/>
      <c r="AQ147" s="4"/>
      <c r="AR147" s="4"/>
      <c r="AS147" s="4"/>
      <c r="AT147" s="2"/>
    </row>
    <row r="148" spans="1:46" ht="18" customHeight="1" x14ac:dyDescent="0.25">
      <c r="A148" s="4"/>
      <c r="B148" s="4"/>
      <c r="D148" s="4"/>
      <c r="E148" s="4"/>
      <c r="F148" s="4"/>
      <c r="I148" s="4"/>
      <c r="J148" s="2"/>
      <c r="K148" s="4"/>
      <c r="M148" s="4"/>
      <c r="N148" s="4"/>
      <c r="O148" s="4"/>
      <c r="R148" s="4"/>
      <c r="S148" s="4"/>
      <c r="T148" s="4"/>
      <c r="V148" s="10"/>
      <c r="W148" s="4"/>
      <c r="Y148" s="10"/>
      <c r="Z148" s="4"/>
      <c r="AB148" s="10"/>
      <c r="AC148" s="4"/>
      <c r="AE148" s="10"/>
      <c r="AF148" s="4"/>
      <c r="AH148" s="10"/>
      <c r="AI148" s="4"/>
      <c r="AK148" s="4"/>
      <c r="AL148" s="4"/>
      <c r="AM148" s="4"/>
      <c r="AN148" s="4"/>
      <c r="AO148" s="4"/>
      <c r="AP148" s="4"/>
      <c r="AQ148" s="4"/>
      <c r="AR148" s="4"/>
      <c r="AS148" s="4"/>
      <c r="AT148" s="2"/>
    </row>
    <row r="149" spans="1:46" ht="18" customHeight="1" x14ac:dyDescent="0.25">
      <c r="A149" s="4"/>
      <c r="B149" s="4"/>
      <c r="D149" s="4"/>
      <c r="E149" s="4"/>
      <c r="F149" s="4"/>
      <c r="I149" s="4"/>
      <c r="J149" s="2"/>
      <c r="K149" s="4"/>
      <c r="M149" s="4"/>
      <c r="N149" s="4"/>
      <c r="O149" s="4"/>
      <c r="R149" s="4"/>
      <c r="S149" s="4"/>
      <c r="T149" s="4"/>
      <c r="V149" s="10"/>
      <c r="W149" s="4"/>
      <c r="Y149" s="10"/>
      <c r="Z149" s="4"/>
      <c r="AB149" s="10"/>
      <c r="AC149" s="4"/>
      <c r="AE149" s="10"/>
      <c r="AF149" s="4"/>
      <c r="AH149" s="10"/>
      <c r="AI149" s="4"/>
      <c r="AK149" s="4"/>
      <c r="AL149" s="4"/>
      <c r="AM149" s="4"/>
      <c r="AN149" s="4"/>
      <c r="AO149" s="4"/>
      <c r="AP149" s="4"/>
      <c r="AQ149" s="4"/>
      <c r="AR149" s="4"/>
      <c r="AS149" s="4"/>
      <c r="AT149" s="2"/>
    </row>
    <row r="150" spans="1:46" ht="18" customHeight="1" x14ac:dyDescent="0.25">
      <c r="A150" s="4"/>
      <c r="B150" s="4"/>
      <c r="D150" s="4"/>
      <c r="E150" s="4"/>
      <c r="F150" s="4"/>
      <c r="I150" s="4"/>
      <c r="J150" s="2"/>
      <c r="K150" s="4"/>
      <c r="M150" s="4"/>
      <c r="N150" s="4"/>
      <c r="O150" s="4"/>
      <c r="R150" s="4"/>
      <c r="S150" s="4"/>
      <c r="T150" s="4"/>
      <c r="V150" s="10"/>
      <c r="W150" s="4"/>
      <c r="Y150" s="10"/>
      <c r="Z150" s="4"/>
      <c r="AB150" s="10"/>
      <c r="AC150" s="4"/>
      <c r="AE150" s="10"/>
      <c r="AF150" s="4"/>
      <c r="AH150" s="10"/>
      <c r="AI150" s="4"/>
      <c r="AK150" s="4"/>
      <c r="AL150" s="4"/>
      <c r="AM150" s="4"/>
      <c r="AN150" s="4"/>
      <c r="AO150" s="4"/>
      <c r="AP150" s="4"/>
      <c r="AQ150" s="4"/>
      <c r="AR150" s="4"/>
      <c r="AS150" s="4"/>
      <c r="AT150" s="2"/>
    </row>
    <row r="151" spans="1:46" ht="18" customHeight="1" x14ac:dyDescent="0.25">
      <c r="A151" s="4"/>
      <c r="B151" s="4"/>
      <c r="D151" s="4"/>
      <c r="E151" s="4"/>
      <c r="F151" s="4"/>
      <c r="I151" s="4"/>
      <c r="J151" s="2"/>
      <c r="K151" s="4"/>
      <c r="M151" s="4"/>
      <c r="N151" s="4"/>
      <c r="O151" s="4"/>
      <c r="R151" s="4"/>
      <c r="S151" s="4"/>
      <c r="T151" s="4"/>
      <c r="V151" s="10"/>
      <c r="W151" s="4"/>
      <c r="Y151" s="10"/>
      <c r="Z151" s="4"/>
      <c r="AB151" s="10"/>
      <c r="AC151" s="4"/>
      <c r="AE151" s="10"/>
      <c r="AF151" s="4"/>
      <c r="AH151" s="10"/>
      <c r="AI151" s="4"/>
      <c r="AK151" s="4"/>
      <c r="AL151" s="4"/>
      <c r="AM151" s="4"/>
      <c r="AN151" s="4"/>
      <c r="AO151" s="4"/>
      <c r="AP151" s="4"/>
      <c r="AQ151" s="4"/>
      <c r="AR151" s="4"/>
      <c r="AS151" s="4"/>
      <c r="AT151" s="2"/>
    </row>
    <row r="152" spans="1:46" ht="18" customHeight="1" x14ac:dyDescent="0.25">
      <c r="A152" s="4"/>
      <c r="B152" s="4"/>
      <c r="D152" s="4"/>
      <c r="E152" s="4"/>
      <c r="F152" s="4"/>
      <c r="I152" s="4"/>
      <c r="J152" s="2"/>
      <c r="K152" s="4"/>
      <c r="M152" s="4"/>
      <c r="N152" s="4"/>
      <c r="O152" s="4"/>
      <c r="R152" s="4"/>
      <c r="S152" s="4"/>
      <c r="T152" s="4"/>
      <c r="V152" s="10"/>
      <c r="W152" s="4"/>
      <c r="Y152" s="10"/>
      <c r="Z152" s="4"/>
      <c r="AB152" s="10"/>
      <c r="AC152" s="4"/>
      <c r="AE152" s="10"/>
      <c r="AF152" s="4"/>
      <c r="AH152" s="10"/>
      <c r="AI152" s="4"/>
      <c r="AK152" s="4"/>
      <c r="AL152" s="4"/>
      <c r="AM152" s="4"/>
      <c r="AN152" s="4"/>
      <c r="AO152" s="4"/>
      <c r="AP152" s="4"/>
      <c r="AQ152" s="4"/>
      <c r="AR152" s="4"/>
      <c r="AS152" s="4"/>
      <c r="AT152" s="2"/>
    </row>
    <row r="153" spans="1:46" ht="18" customHeight="1" x14ac:dyDescent="0.25">
      <c r="A153" s="4"/>
      <c r="B153" s="4"/>
      <c r="D153" s="4"/>
      <c r="E153" s="4"/>
      <c r="F153" s="4"/>
      <c r="I153" s="4"/>
      <c r="J153" s="2"/>
      <c r="K153" s="4"/>
      <c r="M153" s="4"/>
      <c r="N153" s="4"/>
      <c r="O153" s="4"/>
      <c r="R153" s="4"/>
      <c r="S153" s="4"/>
      <c r="T153" s="4"/>
      <c r="V153" s="10"/>
      <c r="W153" s="4"/>
      <c r="Y153" s="10"/>
      <c r="Z153" s="4"/>
      <c r="AB153" s="10"/>
      <c r="AC153" s="4"/>
      <c r="AE153" s="10"/>
      <c r="AF153" s="4"/>
      <c r="AH153" s="10"/>
      <c r="AI153" s="4"/>
      <c r="AK153" s="4"/>
      <c r="AL153" s="4"/>
      <c r="AM153" s="4"/>
      <c r="AN153" s="4"/>
      <c r="AO153" s="4"/>
      <c r="AP153" s="4"/>
      <c r="AQ153" s="4"/>
      <c r="AR153" s="4"/>
      <c r="AS153" s="4"/>
      <c r="AT153" s="2"/>
    </row>
    <row r="154" spans="1:46" ht="18" customHeight="1" x14ac:dyDescent="0.25">
      <c r="A154" s="4"/>
      <c r="B154" s="4"/>
      <c r="D154" s="4"/>
      <c r="E154" s="4"/>
      <c r="F154" s="4"/>
      <c r="I154" s="4"/>
      <c r="J154" s="2"/>
      <c r="K154" s="4"/>
      <c r="M154" s="4"/>
      <c r="N154" s="4"/>
      <c r="O154" s="4"/>
      <c r="R154" s="4"/>
      <c r="S154" s="4"/>
      <c r="T154" s="4"/>
      <c r="V154" s="10"/>
      <c r="W154" s="4"/>
      <c r="Y154" s="10"/>
      <c r="Z154" s="4"/>
      <c r="AB154" s="10"/>
      <c r="AC154" s="4"/>
      <c r="AE154" s="10"/>
      <c r="AF154" s="4"/>
      <c r="AH154" s="10"/>
      <c r="AI154" s="4"/>
      <c r="AK154" s="4"/>
      <c r="AL154" s="4"/>
      <c r="AM154" s="4"/>
      <c r="AN154" s="4"/>
      <c r="AO154" s="4"/>
      <c r="AP154" s="4"/>
      <c r="AQ154" s="4"/>
      <c r="AR154" s="4"/>
      <c r="AS154" s="4"/>
      <c r="AT154" s="2"/>
    </row>
    <row r="155" spans="1:46" ht="18" customHeight="1" x14ac:dyDescent="0.25">
      <c r="A155" s="4"/>
      <c r="B155" s="4"/>
      <c r="D155" s="4"/>
      <c r="E155" s="4"/>
      <c r="F155" s="4"/>
      <c r="I155" s="4"/>
      <c r="J155" s="2"/>
      <c r="K155" s="4"/>
      <c r="M155" s="4"/>
      <c r="N155" s="4"/>
      <c r="O155" s="4"/>
      <c r="R155" s="4"/>
      <c r="S155" s="4"/>
      <c r="T155" s="4"/>
      <c r="V155" s="10"/>
      <c r="W155" s="4"/>
      <c r="Y155" s="10"/>
      <c r="Z155" s="4"/>
      <c r="AB155" s="10"/>
      <c r="AC155" s="4"/>
      <c r="AE155" s="10"/>
      <c r="AF155" s="4"/>
      <c r="AH155" s="10"/>
      <c r="AI155" s="4"/>
      <c r="AK155" s="4"/>
      <c r="AL155" s="4"/>
      <c r="AM155" s="4"/>
      <c r="AN155" s="4"/>
      <c r="AO155" s="4"/>
      <c r="AP155" s="4"/>
      <c r="AQ155" s="4"/>
      <c r="AR155" s="4"/>
      <c r="AS155" s="4"/>
      <c r="AT155" s="2"/>
    </row>
    <row r="156" spans="1:46" ht="18" customHeight="1" x14ac:dyDescent="0.25">
      <c r="A156" s="4"/>
      <c r="B156" s="4"/>
      <c r="D156" s="4"/>
      <c r="E156" s="4"/>
      <c r="F156" s="4"/>
      <c r="I156" s="4"/>
      <c r="J156" s="2"/>
      <c r="K156" s="4"/>
      <c r="M156" s="4"/>
      <c r="N156" s="4"/>
      <c r="O156" s="4"/>
      <c r="R156" s="4"/>
      <c r="S156" s="4"/>
      <c r="T156" s="4"/>
      <c r="V156" s="10"/>
      <c r="W156" s="4"/>
      <c r="Y156" s="10"/>
      <c r="Z156" s="4"/>
      <c r="AB156" s="10"/>
      <c r="AC156" s="4"/>
      <c r="AE156" s="10"/>
      <c r="AF156" s="4"/>
      <c r="AH156" s="10"/>
      <c r="AI156" s="4"/>
      <c r="AK156" s="4"/>
      <c r="AL156" s="4"/>
      <c r="AM156" s="4"/>
      <c r="AN156" s="4"/>
      <c r="AO156" s="4"/>
      <c r="AP156" s="4"/>
      <c r="AQ156" s="4"/>
      <c r="AR156" s="4"/>
      <c r="AS156" s="4"/>
      <c r="AT156" s="2"/>
    </row>
    <row r="157" spans="1:46" ht="18" customHeight="1" x14ac:dyDescent="0.25">
      <c r="A157" s="4"/>
      <c r="B157" s="4"/>
      <c r="D157" s="5"/>
      <c r="E157" s="4"/>
      <c r="F157" s="4"/>
      <c r="I157" s="4"/>
      <c r="J157" s="2"/>
      <c r="K157" s="4"/>
      <c r="M157" s="4"/>
      <c r="N157" s="4"/>
      <c r="O157" s="4"/>
      <c r="R157" s="4"/>
      <c r="S157" s="4"/>
      <c r="T157" s="4"/>
      <c r="U157" s="5"/>
      <c r="V157" s="10"/>
      <c r="W157" s="4"/>
      <c r="X157" s="4"/>
      <c r="Y157" s="10"/>
      <c r="Z157" s="4"/>
      <c r="AA157" s="4"/>
      <c r="AB157" s="10"/>
      <c r="AC157" s="4"/>
      <c r="AD157" s="2"/>
      <c r="AE157" s="10"/>
      <c r="AF157" s="2"/>
      <c r="AG157" s="2"/>
      <c r="AH157" s="10"/>
      <c r="AI157" s="2"/>
      <c r="AJ157" s="2"/>
      <c r="AK157" s="2"/>
      <c r="AL157" s="2"/>
      <c r="AM157" s="2"/>
      <c r="AN157" s="2"/>
      <c r="AO157" s="2"/>
      <c r="AP157" s="2"/>
      <c r="AQ157" s="2"/>
      <c r="AR157" s="4"/>
    </row>
    <row r="158" spans="1:46" ht="18" customHeight="1" x14ac:dyDescent="0.25">
      <c r="A158" s="4"/>
      <c r="B158" s="4"/>
      <c r="D158" s="5"/>
      <c r="E158" s="4"/>
      <c r="F158" s="4"/>
      <c r="I158" s="4"/>
      <c r="J158" s="2"/>
      <c r="K158" s="4"/>
      <c r="M158" s="4"/>
      <c r="N158" s="4"/>
      <c r="O158" s="4"/>
      <c r="R158" s="4"/>
      <c r="S158" s="4"/>
      <c r="T158" s="4"/>
      <c r="U158" s="5"/>
      <c r="V158" s="10"/>
      <c r="W158" s="4"/>
      <c r="X158" s="4"/>
      <c r="Y158" s="10"/>
      <c r="Z158" s="4"/>
      <c r="AA158" s="4"/>
      <c r="AB158" s="10"/>
      <c r="AC158" s="4"/>
      <c r="AD158" s="2"/>
      <c r="AE158" s="10"/>
      <c r="AF158" s="2"/>
      <c r="AG158" s="2"/>
      <c r="AH158" s="10"/>
      <c r="AI158" s="2"/>
      <c r="AJ158" s="2"/>
      <c r="AK158" s="2"/>
      <c r="AL158" s="2"/>
      <c r="AM158" s="2"/>
      <c r="AN158" s="2"/>
      <c r="AO158" s="2"/>
      <c r="AP158" s="2"/>
      <c r="AQ158" s="2"/>
      <c r="AR158" s="4"/>
    </row>
    <row r="159" spans="1:46" ht="18" customHeight="1" x14ac:dyDescent="0.25">
      <c r="A159" s="4"/>
      <c r="B159" s="4"/>
      <c r="D159" s="5"/>
      <c r="E159" s="4"/>
      <c r="F159" s="4"/>
      <c r="I159" s="4"/>
      <c r="J159" s="2"/>
      <c r="K159" s="4"/>
      <c r="M159" s="4"/>
      <c r="N159" s="4"/>
      <c r="O159" s="4"/>
      <c r="R159" s="4"/>
      <c r="S159" s="4"/>
      <c r="T159" s="4"/>
      <c r="U159" s="5"/>
      <c r="V159" s="10"/>
      <c r="W159" s="4"/>
      <c r="X159" s="4"/>
      <c r="Y159" s="10"/>
      <c r="Z159" s="4"/>
      <c r="AA159" s="4"/>
      <c r="AB159" s="10"/>
      <c r="AC159" s="4"/>
      <c r="AD159" s="2"/>
      <c r="AE159" s="10"/>
      <c r="AF159" s="2"/>
      <c r="AG159" s="2"/>
      <c r="AH159" s="10"/>
      <c r="AI159" s="2"/>
      <c r="AJ159" s="2"/>
      <c r="AK159" s="2"/>
      <c r="AL159" s="2"/>
      <c r="AM159" s="2"/>
      <c r="AN159" s="2"/>
      <c r="AO159" s="2"/>
      <c r="AP159" s="2"/>
      <c r="AQ159" s="2"/>
      <c r="AR159" s="4"/>
    </row>
    <row r="160" spans="1:46" ht="18" customHeight="1" x14ac:dyDescent="0.25">
      <c r="A160" s="4"/>
      <c r="B160" s="4"/>
      <c r="D160" s="5"/>
      <c r="E160" s="4"/>
      <c r="F160" s="4"/>
      <c r="I160" s="4"/>
      <c r="J160" s="2"/>
      <c r="K160" s="4"/>
      <c r="M160" s="4"/>
      <c r="N160" s="4"/>
      <c r="O160" s="4"/>
      <c r="R160" s="4"/>
      <c r="S160" s="4"/>
      <c r="T160" s="4"/>
      <c r="U160" s="5"/>
      <c r="V160" s="10"/>
      <c r="W160" s="4"/>
      <c r="X160" s="4"/>
      <c r="Y160" s="10"/>
      <c r="Z160" s="4"/>
      <c r="AA160" s="4"/>
      <c r="AB160" s="10"/>
      <c r="AC160" s="4"/>
      <c r="AD160" s="2"/>
      <c r="AE160" s="10"/>
      <c r="AF160" s="2"/>
      <c r="AG160" s="2"/>
      <c r="AH160" s="10"/>
      <c r="AI160" s="2"/>
      <c r="AJ160" s="2"/>
      <c r="AK160" s="2"/>
      <c r="AL160" s="2"/>
      <c r="AM160" s="2"/>
      <c r="AN160" s="2"/>
      <c r="AO160" s="2"/>
      <c r="AP160" s="2"/>
      <c r="AQ160" s="2"/>
      <c r="AR160" s="4"/>
    </row>
    <row r="161" spans="1:44" ht="18" customHeight="1" x14ac:dyDescent="0.25">
      <c r="A161" s="4"/>
      <c r="B161" s="4"/>
      <c r="D161" s="5"/>
      <c r="E161" s="4"/>
      <c r="F161" s="4"/>
      <c r="I161" s="4"/>
      <c r="J161" s="2"/>
      <c r="K161" s="4"/>
      <c r="M161" s="4"/>
      <c r="N161" s="4"/>
      <c r="O161" s="4"/>
      <c r="R161" s="4"/>
      <c r="S161" s="4"/>
      <c r="T161" s="4"/>
      <c r="U161" s="5"/>
      <c r="V161" s="10"/>
      <c r="W161" s="4"/>
      <c r="X161" s="4"/>
      <c r="Y161" s="10"/>
      <c r="Z161" s="4"/>
      <c r="AA161" s="4"/>
      <c r="AB161" s="10"/>
      <c r="AC161" s="4"/>
      <c r="AD161" s="2"/>
      <c r="AE161" s="10"/>
      <c r="AF161" s="2"/>
      <c r="AG161" s="2"/>
      <c r="AH161" s="10"/>
      <c r="AI161" s="2"/>
      <c r="AJ161" s="2"/>
      <c r="AK161" s="2"/>
      <c r="AL161" s="2"/>
      <c r="AM161" s="2"/>
      <c r="AN161" s="2"/>
      <c r="AO161" s="2"/>
      <c r="AP161" s="2"/>
      <c r="AQ161" s="2"/>
      <c r="AR161" s="4"/>
    </row>
    <row r="162" spans="1:44" ht="18" customHeight="1" x14ac:dyDescent="0.25">
      <c r="A162" s="4"/>
      <c r="B162" s="4"/>
      <c r="D162" s="5"/>
      <c r="E162" s="4"/>
      <c r="F162" s="4"/>
      <c r="I162" s="4"/>
      <c r="J162" s="2"/>
      <c r="K162" s="4"/>
      <c r="M162" s="4"/>
      <c r="N162" s="4"/>
      <c r="O162" s="4"/>
      <c r="R162" s="4"/>
      <c r="S162" s="4"/>
      <c r="T162" s="4"/>
      <c r="U162" s="5"/>
      <c r="V162" s="10"/>
      <c r="W162" s="4"/>
      <c r="X162" s="4"/>
      <c r="Y162" s="10"/>
      <c r="Z162" s="4"/>
      <c r="AA162" s="4"/>
      <c r="AB162" s="10"/>
      <c r="AC162" s="4"/>
      <c r="AD162" s="2"/>
      <c r="AE162" s="10"/>
      <c r="AF162" s="2"/>
      <c r="AG162" s="2"/>
      <c r="AH162" s="10"/>
      <c r="AI162" s="2"/>
      <c r="AJ162" s="2"/>
      <c r="AK162" s="2"/>
      <c r="AL162" s="2"/>
      <c r="AM162" s="2"/>
      <c r="AN162" s="2"/>
      <c r="AO162" s="2"/>
      <c r="AP162" s="2"/>
      <c r="AQ162" s="2"/>
      <c r="AR162" s="4"/>
    </row>
    <row r="163" spans="1:44" ht="18" customHeight="1" x14ac:dyDescent="0.25">
      <c r="A163" s="4"/>
      <c r="B163" s="4"/>
      <c r="D163" s="5"/>
      <c r="E163" s="4"/>
      <c r="F163" s="4"/>
      <c r="I163" s="4"/>
      <c r="J163" s="2"/>
      <c r="K163" s="4"/>
      <c r="M163" s="4"/>
      <c r="N163" s="4"/>
      <c r="O163" s="4"/>
      <c r="R163" s="4"/>
      <c r="S163" s="4"/>
      <c r="T163" s="4"/>
      <c r="U163" s="5"/>
      <c r="V163" s="10"/>
      <c r="W163" s="4"/>
      <c r="X163" s="4"/>
      <c r="Y163" s="10"/>
      <c r="Z163" s="4"/>
      <c r="AA163" s="4"/>
      <c r="AB163" s="10"/>
      <c r="AC163" s="4"/>
      <c r="AD163" s="2"/>
      <c r="AE163" s="10"/>
      <c r="AF163" s="2"/>
      <c r="AG163" s="2"/>
      <c r="AH163" s="10"/>
      <c r="AI163" s="2"/>
      <c r="AJ163" s="2"/>
      <c r="AK163" s="2"/>
      <c r="AL163" s="2"/>
      <c r="AM163" s="2"/>
      <c r="AN163" s="2"/>
      <c r="AO163" s="2"/>
      <c r="AP163" s="2"/>
      <c r="AQ163" s="2"/>
      <c r="AR163" s="4"/>
    </row>
    <row r="164" spans="1:44" ht="18" customHeight="1" x14ac:dyDescent="0.25">
      <c r="A164" s="4"/>
      <c r="B164" s="4"/>
      <c r="D164" s="5"/>
      <c r="E164" s="4"/>
      <c r="F164" s="4"/>
      <c r="I164" s="4"/>
      <c r="J164" s="2"/>
      <c r="K164" s="4"/>
      <c r="M164" s="4"/>
      <c r="N164" s="4"/>
      <c r="O164" s="4"/>
      <c r="R164" s="4"/>
      <c r="S164" s="4"/>
      <c r="T164" s="4"/>
      <c r="U164" s="5"/>
      <c r="V164" s="10"/>
      <c r="W164" s="4"/>
      <c r="X164" s="4"/>
      <c r="Y164" s="10"/>
      <c r="Z164" s="4"/>
      <c r="AA164" s="4"/>
      <c r="AB164" s="10"/>
      <c r="AC164" s="4"/>
      <c r="AD164" s="2"/>
      <c r="AE164" s="10"/>
      <c r="AF164" s="2"/>
      <c r="AG164" s="2"/>
      <c r="AH164" s="10"/>
      <c r="AI164" s="2"/>
      <c r="AJ164" s="2"/>
      <c r="AK164" s="2"/>
      <c r="AL164" s="2"/>
      <c r="AM164" s="2"/>
      <c r="AN164" s="2"/>
      <c r="AO164" s="2"/>
      <c r="AP164" s="2"/>
      <c r="AQ164" s="2"/>
      <c r="AR164" s="4"/>
    </row>
    <row r="165" spans="1:44" ht="18" customHeight="1" x14ac:dyDescent="0.25">
      <c r="A165" s="4"/>
      <c r="B165" s="4"/>
      <c r="D165" s="5"/>
      <c r="E165" s="4"/>
      <c r="F165" s="4"/>
      <c r="I165" s="4"/>
      <c r="J165" s="2"/>
      <c r="K165" s="4"/>
      <c r="M165" s="4"/>
      <c r="N165" s="4"/>
      <c r="O165" s="4"/>
      <c r="R165" s="4"/>
      <c r="S165" s="4"/>
      <c r="T165" s="4"/>
      <c r="U165" s="5"/>
      <c r="V165" s="10"/>
      <c r="W165" s="4"/>
      <c r="X165" s="4"/>
      <c r="Y165" s="10"/>
      <c r="Z165" s="4"/>
      <c r="AA165" s="4"/>
      <c r="AB165" s="10"/>
      <c r="AC165" s="4"/>
      <c r="AD165" s="2"/>
      <c r="AE165" s="10"/>
      <c r="AF165" s="2"/>
      <c r="AG165" s="2"/>
      <c r="AH165" s="10"/>
      <c r="AI165" s="2"/>
      <c r="AJ165" s="2"/>
      <c r="AK165" s="2"/>
      <c r="AL165" s="2"/>
      <c r="AM165" s="2"/>
      <c r="AN165" s="2"/>
      <c r="AO165" s="2"/>
      <c r="AP165" s="2"/>
      <c r="AQ165" s="2"/>
      <c r="AR165" s="4"/>
    </row>
    <row r="166" spans="1:44" ht="18" customHeight="1" x14ac:dyDescent="0.25">
      <c r="A166" s="4"/>
      <c r="B166" s="4"/>
      <c r="D166" s="5"/>
      <c r="E166" s="4"/>
      <c r="F166" s="4"/>
      <c r="I166" s="4"/>
      <c r="J166" s="2"/>
      <c r="K166" s="4"/>
      <c r="M166" s="4"/>
      <c r="N166" s="4"/>
      <c r="O166" s="4"/>
      <c r="R166" s="4"/>
      <c r="S166" s="4"/>
      <c r="T166" s="4"/>
      <c r="U166" s="5"/>
      <c r="V166" s="10"/>
      <c r="W166" s="4"/>
      <c r="X166" s="4"/>
      <c r="Y166" s="10"/>
      <c r="Z166" s="4"/>
      <c r="AA166" s="4"/>
      <c r="AB166" s="10"/>
      <c r="AC166" s="4"/>
      <c r="AD166" s="2"/>
      <c r="AE166" s="10"/>
      <c r="AF166" s="2"/>
      <c r="AG166" s="2"/>
      <c r="AH166" s="10"/>
      <c r="AI166" s="2"/>
      <c r="AJ166" s="2"/>
      <c r="AK166" s="2"/>
      <c r="AL166" s="2"/>
      <c r="AM166" s="2"/>
      <c r="AN166" s="2"/>
      <c r="AO166" s="2"/>
      <c r="AP166" s="2"/>
      <c r="AQ166" s="2"/>
      <c r="AR166" s="4"/>
    </row>
    <row r="167" spans="1:44" ht="18" customHeight="1" x14ac:dyDescent="0.25">
      <c r="A167" s="4"/>
      <c r="B167" s="4"/>
      <c r="D167" s="5"/>
      <c r="E167" s="4"/>
      <c r="F167" s="4"/>
      <c r="I167" s="4"/>
      <c r="J167" s="2"/>
      <c r="K167" s="4"/>
      <c r="M167" s="4"/>
      <c r="N167" s="4"/>
      <c r="O167" s="4"/>
      <c r="R167" s="4"/>
      <c r="S167" s="4"/>
      <c r="T167" s="4"/>
      <c r="U167" s="5"/>
      <c r="V167" s="10"/>
      <c r="W167" s="4"/>
      <c r="X167" s="4"/>
      <c r="Y167" s="10"/>
      <c r="Z167" s="4"/>
      <c r="AA167" s="4"/>
      <c r="AB167" s="10"/>
      <c r="AC167" s="4"/>
      <c r="AD167" s="2"/>
      <c r="AE167" s="10"/>
      <c r="AF167" s="2"/>
      <c r="AG167" s="2"/>
      <c r="AH167" s="10"/>
      <c r="AI167" s="2"/>
      <c r="AJ167" s="2"/>
      <c r="AK167" s="2"/>
      <c r="AL167" s="2"/>
      <c r="AM167" s="2"/>
      <c r="AN167" s="2"/>
      <c r="AO167" s="2"/>
      <c r="AP167" s="2"/>
      <c r="AQ167" s="2"/>
      <c r="AR167" s="4"/>
    </row>
    <row r="168" spans="1:44" ht="18" customHeight="1" x14ac:dyDescent="0.25">
      <c r="A168" s="4"/>
      <c r="B168" s="4"/>
      <c r="D168" s="5"/>
      <c r="E168" s="4"/>
      <c r="F168" s="4"/>
      <c r="I168" s="4"/>
      <c r="J168" s="2"/>
      <c r="K168" s="4"/>
      <c r="M168" s="4"/>
      <c r="N168" s="4"/>
      <c r="O168" s="4"/>
      <c r="R168" s="4"/>
      <c r="S168" s="4"/>
      <c r="T168" s="4"/>
      <c r="U168" s="5"/>
      <c r="V168" s="10"/>
      <c r="W168" s="4"/>
      <c r="X168" s="4"/>
      <c r="Y168" s="10"/>
      <c r="Z168" s="4"/>
      <c r="AA168" s="4"/>
      <c r="AB168" s="10"/>
      <c r="AC168" s="4"/>
      <c r="AD168" s="2"/>
      <c r="AE168" s="10"/>
      <c r="AF168" s="2"/>
      <c r="AG168" s="2"/>
      <c r="AH168" s="10"/>
      <c r="AI168" s="2"/>
      <c r="AJ168" s="2"/>
      <c r="AK168" s="2"/>
      <c r="AL168" s="2"/>
      <c r="AM168" s="2"/>
      <c r="AN168" s="2"/>
      <c r="AO168" s="2"/>
      <c r="AP168" s="2"/>
      <c r="AQ168" s="2"/>
      <c r="AR168" s="4"/>
    </row>
    <row r="169" spans="1:44" ht="18" customHeight="1" x14ac:dyDescent="0.25">
      <c r="A169" s="4"/>
      <c r="B169" s="4"/>
      <c r="D169" s="5"/>
      <c r="E169" s="4"/>
      <c r="F169" s="4"/>
      <c r="I169" s="4"/>
      <c r="J169" s="2"/>
      <c r="K169" s="4"/>
      <c r="M169" s="4"/>
      <c r="N169" s="4"/>
      <c r="O169" s="4"/>
      <c r="R169" s="4"/>
      <c r="S169" s="4"/>
      <c r="T169" s="4"/>
      <c r="U169" s="5"/>
      <c r="V169" s="10"/>
      <c r="W169" s="4"/>
      <c r="X169" s="4"/>
      <c r="Y169" s="10"/>
      <c r="Z169" s="4"/>
      <c r="AA169" s="4"/>
      <c r="AB169" s="10"/>
      <c r="AC169" s="4"/>
      <c r="AD169" s="2"/>
      <c r="AE169" s="10"/>
      <c r="AF169" s="2"/>
      <c r="AG169" s="2"/>
      <c r="AH169" s="10"/>
      <c r="AI169" s="2"/>
      <c r="AJ169" s="2"/>
      <c r="AK169" s="2"/>
      <c r="AL169" s="2"/>
      <c r="AM169" s="2"/>
      <c r="AN169" s="2"/>
      <c r="AO169" s="2"/>
      <c r="AP169" s="2"/>
      <c r="AQ169" s="2"/>
      <c r="AR169" s="4"/>
    </row>
    <row r="170" spans="1:44" ht="18" customHeight="1" x14ac:dyDescent="0.25">
      <c r="A170" s="4"/>
      <c r="B170" s="4"/>
      <c r="D170" s="5"/>
      <c r="E170" s="4"/>
      <c r="F170" s="4"/>
      <c r="I170" s="4"/>
      <c r="J170" s="2"/>
      <c r="K170" s="4"/>
      <c r="M170" s="4"/>
      <c r="N170" s="4"/>
      <c r="O170" s="4"/>
      <c r="R170" s="4"/>
      <c r="S170" s="4"/>
      <c r="T170" s="4"/>
      <c r="U170" s="5"/>
      <c r="V170" s="10"/>
      <c r="W170" s="4"/>
      <c r="X170" s="4"/>
      <c r="Y170" s="10"/>
      <c r="Z170" s="4"/>
      <c r="AA170" s="4"/>
      <c r="AB170" s="10"/>
      <c r="AC170" s="4"/>
      <c r="AD170" s="2"/>
      <c r="AE170" s="10"/>
      <c r="AF170" s="2"/>
      <c r="AG170" s="2"/>
      <c r="AH170" s="10"/>
      <c r="AI170" s="2"/>
      <c r="AJ170" s="2"/>
      <c r="AK170" s="2"/>
      <c r="AL170" s="2"/>
      <c r="AM170" s="2"/>
      <c r="AN170" s="2"/>
      <c r="AO170" s="2"/>
      <c r="AP170" s="2"/>
      <c r="AQ170" s="2"/>
      <c r="AR170" s="4"/>
    </row>
    <row r="171" spans="1:44" ht="18" customHeight="1" x14ac:dyDescent="0.25">
      <c r="A171" s="4"/>
      <c r="B171" s="4"/>
      <c r="D171" s="5"/>
      <c r="E171" s="4"/>
      <c r="F171" s="4"/>
      <c r="I171" s="4"/>
      <c r="J171" s="2"/>
      <c r="K171" s="4"/>
      <c r="M171" s="4"/>
      <c r="N171" s="4"/>
      <c r="O171" s="4"/>
      <c r="R171" s="4"/>
      <c r="S171" s="4"/>
      <c r="T171" s="4"/>
      <c r="U171" s="5"/>
      <c r="V171" s="10"/>
      <c r="W171" s="4"/>
      <c r="X171" s="4"/>
      <c r="Y171" s="10"/>
      <c r="Z171" s="4"/>
      <c r="AA171" s="4"/>
      <c r="AB171" s="10"/>
      <c r="AC171" s="4"/>
      <c r="AD171" s="2"/>
      <c r="AE171" s="10"/>
      <c r="AF171" s="2"/>
      <c r="AG171" s="2"/>
      <c r="AH171" s="10"/>
      <c r="AI171" s="2"/>
      <c r="AJ171" s="2"/>
      <c r="AK171" s="2"/>
      <c r="AL171" s="2"/>
      <c r="AM171" s="2"/>
      <c r="AN171" s="2"/>
      <c r="AO171" s="2"/>
      <c r="AP171" s="2"/>
      <c r="AQ171" s="2"/>
      <c r="AR171" s="4"/>
    </row>
    <row r="172" spans="1:44" ht="18" customHeight="1" x14ac:dyDescent="0.25">
      <c r="A172" s="4"/>
      <c r="B172" s="4"/>
      <c r="D172" s="5"/>
      <c r="E172" s="4"/>
      <c r="F172" s="4"/>
      <c r="I172" s="4"/>
      <c r="J172" s="2"/>
      <c r="K172" s="4"/>
      <c r="M172" s="4"/>
      <c r="N172" s="4"/>
      <c r="O172" s="4"/>
      <c r="R172" s="4"/>
      <c r="S172" s="4"/>
      <c r="T172" s="4"/>
      <c r="U172" s="5"/>
      <c r="V172" s="10"/>
      <c r="W172" s="4"/>
      <c r="X172" s="4"/>
      <c r="Y172" s="10"/>
      <c r="Z172" s="4"/>
      <c r="AA172" s="4"/>
      <c r="AB172" s="10"/>
      <c r="AC172" s="4"/>
      <c r="AD172" s="2"/>
      <c r="AE172" s="10"/>
      <c r="AF172" s="2"/>
      <c r="AG172" s="2"/>
      <c r="AH172" s="10"/>
      <c r="AI172" s="2"/>
      <c r="AJ172" s="2"/>
      <c r="AK172" s="2"/>
      <c r="AL172" s="2"/>
      <c r="AM172" s="2"/>
      <c r="AN172" s="2"/>
      <c r="AO172" s="2"/>
      <c r="AP172" s="2"/>
      <c r="AQ172" s="2"/>
      <c r="AR172" s="4"/>
    </row>
    <row r="173" spans="1:44" ht="18" customHeight="1" x14ac:dyDescent="0.25">
      <c r="A173" s="4"/>
      <c r="B173" s="4"/>
      <c r="D173" s="5"/>
      <c r="E173" s="4"/>
      <c r="F173" s="4"/>
      <c r="I173" s="4"/>
      <c r="J173" s="2"/>
      <c r="K173" s="4"/>
      <c r="M173" s="4"/>
      <c r="N173" s="4"/>
      <c r="O173" s="4"/>
      <c r="R173" s="4"/>
      <c r="S173" s="4"/>
      <c r="T173" s="4"/>
      <c r="U173" s="5"/>
      <c r="V173" s="10"/>
      <c r="W173" s="4"/>
      <c r="X173" s="4"/>
      <c r="Y173" s="10"/>
      <c r="Z173" s="4"/>
      <c r="AA173" s="4"/>
      <c r="AB173" s="10"/>
      <c r="AC173" s="4"/>
      <c r="AD173" s="2"/>
      <c r="AE173" s="10"/>
      <c r="AF173" s="2"/>
      <c r="AG173" s="2"/>
      <c r="AH173" s="10"/>
      <c r="AI173" s="2"/>
      <c r="AJ173" s="2"/>
      <c r="AK173" s="2"/>
      <c r="AL173" s="2"/>
      <c r="AM173" s="2"/>
      <c r="AN173" s="2"/>
      <c r="AO173" s="2"/>
      <c r="AP173" s="2"/>
      <c r="AQ173" s="2"/>
      <c r="AR173" s="4"/>
    </row>
    <row r="174" spans="1:44" ht="18" customHeight="1" x14ac:dyDescent="0.25">
      <c r="A174" s="4"/>
      <c r="B174" s="4"/>
      <c r="D174" s="5"/>
      <c r="E174" s="4"/>
      <c r="F174" s="4"/>
      <c r="I174" s="4"/>
      <c r="J174" s="2"/>
      <c r="K174" s="4"/>
      <c r="M174" s="4"/>
      <c r="N174" s="4"/>
      <c r="O174" s="4"/>
      <c r="R174" s="4"/>
      <c r="S174" s="4"/>
      <c r="T174" s="4"/>
      <c r="U174" s="5"/>
      <c r="V174" s="10"/>
      <c r="W174" s="4"/>
      <c r="X174" s="4"/>
      <c r="Y174" s="10"/>
      <c r="Z174" s="4"/>
      <c r="AA174" s="4"/>
      <c r="AB174" s="10"/>
      <c r="AC174" s="4"/>
      <c r="AD174" s="2"/>
      <c r="AE174" s="10"/>
      <c r="AF174" s="2"/>
      <c r="AG174" s="2"/>
      <c r="AH174" s="10"/>
      <c r="AI174" s="2"/>
      <c r="AJ174" s="2"/>
      <c r="AK174" s="2"/>
      <c r="AL174" s="2"/>
      <c r="AM174" s="2"/>
      <c r="AN174" s="2"/>
      <c r="AO174" s="2"/>
      <c r="AP174" s="2"/>
      <c r="AQ174" s="2"/>
      <c r="AR174" s="4"/>
    </row>
    <row r="175" spans="1:44" ht="18" customHeight="1" x14ac:dyDescent="0.25">
      <c r="A175" s="4"/>
      <c r="B175" s="4"/>
      <c r="D175" s="5"/>
      <c r="E175" s="4"/>
      <c r="F175" s="4"/>
      <c r="I175" s="4"/>
      <c r="J175" s="2"/>
      <c r="K175" s="4"/>
      <c r="M175" s="4"/>
      <c r="N175" s="4"/>
      <c r="O175" s="4"/>
      <c r="R175" s="4"/>
      <c r="S175" s="4"/>
      <c r="T175" s="4"/>
      <c r="U175" s="5"/>
      <c r="V175" s="10"/>
      <c r="W175" s="4"/>
      <c r="X175" s="4"/>
      <c r="Y175" s="10"/>
      <c r="Z175" s="4"/>
      <c r="AA175" s="4"/>
      <c r="AB175" s="10"/>
      <c r="AC175" s="4"/>
      <c r="AD175" s="2"/>
      <c r="AE175" s="10"/>
      <c r="AF175" s="2"/>
      <c r="AG175" s="2"/>
      <c r="AH175" s="10"/>
      <c r="AI175" s="2"/>
      <c r="AJ175" s="2"/>
      <c r="AK175" s="2"/>
      <c r="AL175" s="2"/>
      <c r="AM175" s="2"/>
      <c r="AN175" s="2"/>
      <c r="AO175" s="2"/>
      <c r="AP175" s="2"/>
      <c r="AQ175" s="2"/>
      <c r="AR175" s="4"/>
    </row>
    <row r="176" spans="1:44" ht="18" customHeight="1" x14ac:dyDescent="0.25">
      <c r="A176" s="4"/>
      <c r="B176" s="4"/>
      <c r="D176" s="5"/>
      <c r="E176" s="4"/>
      <c r="F176" s="4"/>
      <c r="I176" s="4"/>
      <c r="J176" s="2"/>
      <c r="K176" s="4"/>
      <c r="M176" s="4"/>
      <c r="N176" s="4"/>
      <c r="O176" s="4"/>
      <c r="R176" s="4"/>
      <c r="S176" s="4"/>
      <c r="T176" s="4"/>
      <c r="U176" s="5"/>
      <c r="V176" s="10"/>
      <c r="W176" s="4"/>
      <c r="X176" s="4"/>
      <c r="Y176" s="10"/>
      <c r="Z176" s="4"/>
      <c r="AA176" s="4"/>
      <c r="AB176" s="10"/>
      <c r="AC176" s="4"/>
      <c r="AD176" s="2"/>
      <c r="AE176" s="10"/>
      <c r="AF176" s="2"/>
      <c r="AG176" s="2"/>
      <c r="AH176" s="10"/>
      <c r="AI176" s="2"/>
      <c r="AJ176" s="2"/>
      <c r="AK176" s="2"/>
      <c r="AL176" s="2"/>
      <c r="AM176" s="2"/>
      <c r="AN176" s="2"/>
      <c r="AO176" s="2"/>
      <c r="AP176" s="2"/>
      <c r="AQ176" s="2"/>
      <c r="AR176" s="4"/>
    </row>
    <row r="177" spans="1:44" ht="18" customHeight="1" x14ac:dyDescent="0.25">
      <c r="A177" s="4"/>
      <c r="B177" s="4"/>
      <c r="D177" s="5"/>
      <c r="E177" s="4"/>
      <c r="F177" s="4"/>
      <c r="I177" s="4"/>
      <c r="J177" s="2"/>
      <c r="K177" s="4"/>
      <c r="M177" s="4"/>
      <c r="N177" s="4"/>
      <c r="O177" s="4"/>
      <c r="R177" s="4"/>
      <c r="S177" s="4"/>
      <c r="T177" s="4"/>
      <c r="U177" s="5"/>
      <c r="V177" s="10"/>
      <c r="W177" s="4"/>
      <c r="X177" s="4"/>
      <c r="Y177" s="10"/>
      <c r="Z177" s="4"/>
      <c r="AA177" s="4"/>
      <c r="AB177" s="10"/>
      <c r="AC177" s="4"/>
      <c r="AD177" s="2"/>
      <c r="AE177" s="10"/>
      <c r="AF177" s="2"/>
      <c r="AG177" s="2"/>
      <c r="AH177" s="10"/>
      <c r="AI177" s="2"/>
      <c r="AJ177" s="2"/>
      <c r="AK177" s="2"/>
      <c r="AL177" s="2"/>
      <c r="AM177" s="2"/>
      <c r="AN177" s="2"/>
      <c r="AO177" s="2"/>
      <c r="AP177" s="2"/>
      <c r="AQ177" s="2"/>
      <c r="AR177" s="4"/>
    </row>
    <row r="178" spans="1:44" ht="18" customHeight="1" x14ac:dyDescent="0.25">
      <c r="A178" s="4"/>
      <c r="B178" s="4"/>
      <c r="D178" s="5"/>
      <c r="E178" s="4"/>
      <c r="F178" s="4"/>
      <c r="I178" s="4"/>
      <c r="J178" s="2"/>
      <c r="K178" s="4"/>
      <c r="M178" s="4"/>
      <c r="N178" s="4"/>
      <c r="O178" s="4"/>
      <c r="R178" s="4"/>
      <c r="S178" s="4"/>
      <c r="T178" s="4"/>
      <c r="U178" s="5"/>
      <c r="V178" s="10"/>
      <c r="W178" s="4"/>
      <c r="X178" s="4"/>
      <c r="Y178" s="10"/>
      <c r="Z178" s="4"/>
      <c r="AA178" s="4"/>
      <c r="AB178" s="10"/>
      <c r="AC178" s="4"/>
      <c r="AD178" s="2"/>
      <c r="AE178" s="10"/>
      <c r="AF178" s="2"/>
      <c r="AG178" s="2"/>
      <c r="AH178" s="10"/>
      <c r="AI178" s="2"/>
      <c r="AJ178" s="2"/>
      <c r="AK178" s="2"/>
      <c r="AL178" s="2"/>
      <c r="AM178" s="2"/>
      <c r="AN178" s="2"/>
      <c r="AO178" s="2"/>
      <c r="AP178" s="2"/>
      <c r="AQ178" s="2"/>
      <c r="AR178" s="4"/>
    </row>
    <row r="179" spans="1:44" ht="18" customHeight="1" x14ac:dyDescent="0.25">
      <c r="A179" s="4"/>
      <c r="B179" s="4"/>
      <c r="D179" s="5"/>
      <c r="E179" s="4"/>
      <c r="F179" s="4"/>
      <c r="I179" s="4"/>
      <c r="J179" s="2"/>
      <c r="K179" s="4"/>
      <c r="M179" s="4"/>
      <c r="N179" s="4"/>
      <c r="O179" s="4"/>
      <c r="R179" s="4"/>
      <c r="S179" s="4"/>
      <c r="T179" s="4"/>
      <c r="U179" s="5"/>
      <c r="V179" s="10"/>
      <c r="W179" s="4"/>
      <c r="X179" s="4"/>
      <c r="Y179" s="10"/>
      <c r="Z179" s="4"/>
      <c r="AA179" s="4"/>
      <c r="AB179" s="10"/>
      <c r="AC179" s="4"/>
      <c r="AD179" s="2"/>
      <c r="AE179" s="10"/>
      <c r="AF179" s="2"/>
      <c r="AG179" s="2"/>
      <c r="AH179" s="10"/>
      <c r="AI179" s="2"/>
      <c r="AJ179" s="2"/>
      <c r="AK179" s="2"/>
      <c r="AL179" s="2"/>
      <c r="AM179" s="2"/>
      <c r="AN179" s="2"/>
      <c r="AO179" s="2"/>
      <c r="AP179" s="2"/>
      <c r="AQ179" s="2"/>
      <c r="AR179" s="4"/>
    </row>
    <row r="180" spans="1:44" ht="18" customHeight="1" x14ac:dyDescent="0.25">
      <c r="A180" s="4"/>
      <c r="B180" s="4"/>
      <c r="D180" s="5"/>
      <c r="E180" s="4"/>
      <c r="F180" s="4"/>
      <c r="I180" s="4"/>
      <c r="J180" s="2"/>
      <c r="K180" s="4"/>
      <c r="M180" s="4"/>
      <c r="N180" s="4"/>
      <c r="O180" s="4"/>
      <c r="R180" s="4"/>
      <c r="S180" s="4"/>
      <c r="T180" s="4"/>
      <c r="U180" s="5"/>
      <c r="V180" s="10"/>
      <c r="W180" s="4"/>
      <c r="X180" s="4"/>
      <c r="Y180" s="10"/>
      <c r="Z180" s="4"/>
      <c r="AA180" s="4"/>
      <c r="AB180" s="10"/>
      <c r="AC180" s="4"/>
      <c r="AD180" s="2"/>
      <c r="AE180" s="10"/>
      <c r="AF180" s="2"/>
      <c r="AG180" s="2"/>
      <c r="AH180" s="10"/>
      <c r="AI180" s="2"/>
      <c r="AJ180" s="2"/>
      <c r="AK180" s="2"/>
      <c r="AL180" s="2"/>
      <c r="AM180" s="2"/>
      <c r="AN180" s="2"/>
      <c r="AO180" s="2"/>
      <c r="AP180" s="2"/>
      <c r="AQ180" s="2"/>
      <c r="AR180" s="4"/>
    </row>
    <row r="181" spans="1:44" ht="18" customHeight="1" x14ac:dyDescent="0.25">
      <c r="A181" s="4"/>
      <c r="B181" s="4"/>
      <c r="D181" s="5"/>
      <c r="E181" s="4"/>
      <c r="F181" s="4"/>
      <c r="I181" s="4"/>
      <c r="J181" s="2"/>
      <c r="K181" s="4"/>
      <c r="M181" s="4"/>
      <c r="N181" s="4"/>
      <c r="O181" s="4"/>
      <c r="R181" s="4"/>
      <c r="S181" s="4"/>
      <c r="T181" s="4"/>
      <c r="U181" s="5"/>
      <c r="V181" s="10"/>
      <c r="W181" s="4"/>
      <c r="X181" s="4"/>
      <c r="Y181" s="10"/>
      <c r="Z181" s="4"/>
      <c r="AA181" s="4"/>
      <c r="AB181" s="10"/>
      <c r="AC181" s="4"/>
      <c r="AD181" s="2"/>
      <c r="AE181" s="10"/>
      <c r="AF181" s="2"/>
      <c r="AG181" s="2"/>
      <c r="AH181" s="10"/>
      <c r="AI181" s="2"/>
      <c r="AJ181" s="2"/>
      <c r="AK181" s="2"/>
      <c r="AL181" s="2"/>
      <c r="AM181" s="2"/>
      <c r="AN181" s="2"/>
      <c r="AO181" s="2"/>
      <c r="AP181" s="2"/>
      <c r="AQ181" s="2"/>
      <c r="AR181" s="4"/>
    </row>
    <row r="182" spans="1:44" ht="18" customHeight="1" x14ac:dyDescent="0.25">
      <c r="A182" s="4"/>
      <c r="B182" s="4"/>
      <c r="D182" s="5"/>
      <c r="E182" s="4"/>
      <c r="F182" s="4"/>
      <c r="I182" s="4"/>
      <c r="J182" s="2"/>
      <c r="K182" s="4"/>
      <c r="M182" s="4"/>
      <c r="N182" s="4"/>
      <c r="O182" s="4"/>
      <c r="R182" s="4"/>
      <c r="S182" s="4"/>
      <c r="T182" s="4"/>
      <c r="U182" s="5"/>
      <c r="V182" s="10"/>
      <c r="W182" s="4"/>
      <c r="X182" s="4"/>
      <c r="Y182" s="10"/>
      <c r="Z182" s="4"/>
      <c r="AA182" s="4"/>
      <c r="AB182" s="10"/>
      <c r="AC182" s="4"/>
      <c r="AD182" s="2"/>
      <c r="AE182" s="10"/>
      <c r="AF182" s="2"/>
      <c r="AG182" s="2"/>
      <c r="AH182" s="10"/>
      <c r="AI182" s="2"/>
      <c r="AJ182" s="2"/>
      <c r="AK182" s="2"/>
      <c r="AL182" s="2"/>
      <c r="AM182" s="2"/>
      <c r="AN182" s="2"/>
      <c r="AO182" s="2"/>
      <c r="AP182" s="2"/>
      <c r="AQ182" s="2"/>
      <c r="AR182" s="4"/>
    </row>
    <row r="183" spans="1:44" ht="18" customHeight="1" x14ac:dyDescent="0.25">
      <c r="A183" s="4"/>
      <c r="B183" s="4"/>
      <c r="D183" s="5"/>
      <c r="E183" s="4"/>
      <c r="F183" s="4"/>
      <c r="I183" s="4"/>
      <c r="J183" s="2"/>
      <c r="K183" s="4"/>
      <c r="M183" s="4"/>
      <c r="N183" s="4"/>
      <c r="O183" s="4"/>
      <c r="R183" s="4"/>
      <c r="S183" s="4"/>
      <c r="T183" s="4"/>
      <c r="U183" s="5"/>
      <c r="V183" s="10"/>
      <c r="W183" s="4"/>
      <c r="X183" s="4"/>
      <c r="Y183" s="10"/>
      <c r="Z183" s="4"/>
      <c r="AA183" s="4"/>
      <c r="AB183" s="10"/>
      <c r="AC183" s="4"/>
      <c r="AD183" s="2"/>
      <c r="AE183" s="10"/>
      <c r="AF183" s="2"/>
      <c r="AG183" s="2"/>
      <c r="AH183" s="10"/>
      <c r="AI183" s="2"/>
      <c r="AJ183" s="2"/>
      <c r="AK183" s="2"/>
      <c r="AL183" s="2"/>
      <c r="AM183" s="2"/>
      <c r="AN183" s="2"/>
      <c r="AO183" s="2"/>
      <c r="AP183" s="2"/>
      <c r="AQ183" s="2"/>
      <c r="AR183" s="4"/>
    </row>
    <row r="184" spans="1:44" ht="18" customHeight="1" x14ac:dyDescent="0.25">
      <c r="A184" s="4"/>
      <c r="B184" s="4"/>
      <c r="D184" s="5"/>
      <c r="E184" s="4"/>
      <c r="F184" s="4"/>
      <c r="I184" s="4"/>
      <c r="J184" s="2"/>
      <c r="K184" s="4"/>
      <c r="M184" s="4"/>
      <c r="N184" s="4"/>
      <c r="O184" s="4"/>
      <c r="R184" s="4"/>
      <c r="S184" s="4"/>
      <c r="T184" s="4"/>
      <c r="U184" s="5"/>
      <c r="V184" s="10"/>
      <c r="W184" s="4"/>
      <c r="X184" s="4"/>
      <c r="Y184" s="10"/>
      <c r="Z184" s="4"/>
      <c r="AA184" s="4"/>
      <c r="AB184" s="10"/>
      <c r="AC184" s="4"/>
      <c r="AD184" s="2"/>
      <c r="AE184" s="10"/>
      <c r="AF184" s="2"/>
      <c r="AG184" s="2"/>
      <c r="AH184" s="10"/>
      <c r="AI184" s="2"/>
      <c r="AJ184" s="2"/>
      <c r="AK184" s="2"/>
      <c r="AL184" s="2"/>
      <c r="AM184" s="2"/>
      <c r="AN184" s="2"/>
      <c r="AO184" s="2"/>
      <c r="AP184" s="2"/>
      <c r="AQ184" s="2"/>
      <c r="AR184" s="4"/>
    </row>
    <row r="185" spans="1:44" ht="18" customHeight="1" x14ac:dyDescent="0.25">
      <c r="A185" s="4"/>
      <c r="B185" s="4"/>
      <c r="D185" s="5">
        <f t="shared" ref="D185:D199" si="0">IF(ISERROR(DATE(DAY(C185),MONTH(C185),YEAR(C185))), HYPERLINK("https://americaswmprd.bpweb.bp.com/maximo/ui/?event=loadapp&amp;value=wotrack&amp;additionalevent=useqbe&amp;additionaleventvalue=wonum=" &amp; C185 &amp; "&amp;forcereload=true",C185),C185)</f>
        <v>0</v>
      </c>
      <c r="E185" s="4"/>
      <c r="F185" s="4"/>
      <c r="I185" s="4"/>
      <c r="J185" s="2"/>
      <c r="K185" s="4"/>
      <c r="M185" s="4"/>
      <c r="N185" s="4"/>
      <c r="O185" s="4"/>
      <c r="R185" s="4"/>
      <c r="S185" s="4"/>
      <c r="T185" s="4"/>
      <c r="U185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V185" s="10"/>
      <c r="W185" s="4"/>
      <c r="X185" s="4"/>
      <c r="Y185" s="10"/>
      <c r="Z185" s="4"/>
      <c r="AA185" s="4"/>
      <c r="AB185" s="10"/>
      <c r="AC185" s="4"/>
      <c r="AD185" s="2"/>
      <c r="AE185" s="10"/>
      <c r="AF185" s="2"/>
      <c r="AG185" s="2"/>
      <c r="AH185" s="10"/>
      <c r="AI185" s="2"/>
      <c r="AJ185" s="2"/>
      <c r="AK185" s="2"/>
      <c r="AL185" s="2"/>
      <c r="AM185" s="2"/>
      <c r="AN185" s="2"/>
      <c r="AO185" s="2"/>
      <c r="AP185" s="2"/>
      <c r="AQ185" s="2"/>
      <c r="AR185" s="4"/>
    </row>
    <row r="186" spans="1:44" ht="18" customHeight="1" x14ac:dyDescent="0.25">
      <c r="A186" s="4"/>
      <c r="B186" s="4"/>
      <c r="D186" s="5">
        <f t="shared" si="0"/>
        <v>0</v>
      </c>
      <c r="E186" s="4"/>
      <c r="F186" s="4"/>
      <c r="I186" s="4"/>
      <c r="J186" s="2"/>
      <c r="K186" s="4"/>
      <c r="M186" s="4"/>
      <c r="N186" s="4"/>
      <c r="O186" s="4"/>
      <c r="R186" s="4"/>
      <c r="S186" s="4"/>
      <c r="T186" s="4"/>
      <c r="U186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V186" s="10"/>
      <c r="W186" s="4"/>
      <c r="X186" s="4"/>
      <c r="Y186" s="10"/>
      <c r="Z186" s="4"/>
      <c r="AA186" s="4"/>
      <c r="AB186" s="10"/>
      <c r="AC186" s="4"/>
      <c r="AD186" s="2"/>
      <c r="AE186" s="10"/>
      <c r="AF186" s="2"/>
      <c r="AG186" s="2"/>
      <c r="AH186" s="10"/>
      <c r="AI186" s="2"/>
      <c r="AJ186" s="2"/>
      <c r="AK186" s="2"/>
      <c r="AL186" s="2"/>
      <c r="AM186" s="2"/>
      <c r="AN186" s="2"/>
      <c r="AO186" s="2"/>
      <c r="AP186" s="2"/>
      <c r="AQ186" s="2"/>
      <c r="AR186" s="4"/>
    </row>
    <row r="187" spans="1:44" ht="18" customHeight="1" x14ac:dyDescent="0.25">
      <c r="A187" s="4"/>
      <c r="B187" s="4"/>
      <c r="D187" s="5">
        <f t="shared" si="0"/>
        <v>0</v>
      </c>
      <c r="E187" s="4"/>
      <c r="F187" s="4"/>
      <c r="I187" s="4"/>
      <c r="J187" s="2"/>
      <c r="K187" s="4"/>
      <c r="M187" s="4"/>
      <c r="N187" s="4"/>
      <c r="O187" s="4"/>
      <c r="R187" s="4"/>
      <c r="S187" s="4"/>
      <c r="T187" s="4"/>
      <c r="U187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V187" s="10"/>
      <c r="W187" s="4"/>
      <c r="X187" s="4"/>
      <c r="Y187" s="10"/>
      <c r="Z187" s="4"/>
      <c r="AA187" s="4"/>
      <c r="AB187" s="10"/>
      <c r="AC187" s="4"/>
      <c r="AD187" s="2"/>
      <c r="AE187" s="10"/>
      <c r="AF187" s="2"/>
      <c r="AG187" s="2"/>
      <c r="AH187" s="10"/>
      <c r="AI187" s="2"/>
      <c r="AJ187" s="2"/>
      <c r="AK187" s="2"/>
      <c r="AL187" s="2"/>
      <c r="AM187" s="2"/>
      <c r="AN187" s="2"/>
      <c r="AO187" s="2"/>
      <c r="AP187" s="2"/>
      <c r="AQ187" s="2"/>
      <c r="AR187" s="4"/>
    </row>
    <row r="188" spans="1:44" ht="18" customHeight="1" x14ac:dyDescent="0.25">
      <c r="A188" s="4"/>
      <c r="B188" s="4"/>
      <c r="D188" s="5">
        <f t="shared" si="0"/>
        <v>0</v>
      </c>
      <c r="E188" s="4"/>
      <c r="F188" s="4"/>
      <c r="I188" s="4"/>
      <c r="J188" s="2"/>
      <c r="K188" s="4"/>
      <c r="M188" s="4"/>
      <c r="N188" s="4"/>
      <c r="O188" s="4"/>
      <c r="R188" s="4"/>
      <c r="S188" s="4"/>
      <c r="T188" s="4"/>
      <c r="U188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V188" s="10"/>
      <c r="W188" s="4"/>
      <c r="X188" s="4"/>
      <c r="Y188" s="10"/>
      <c r="Z188" s="4"/>
      <c r="AA188" s="4"/>
      <c r="AB188" s="10"/>
      <c r="AC188" s="4"/>
      <c r="AD188" s="2"/>
      <c r="AE188" s="10"/>
      <c r="AF188" s="2"/>
      <c r="AG188" s="2"/>
      <c r="AH188" s="10"/>
      <c r="AI188" s="2"/>
      <c r="AJ188" s="2"/>
      <c r="AK188" s="2"/>
      <c r="AL188" s="2"/>
      <c r="AM188" s="2"/>
      <c r="AN188" s="2"/>
      <c r="AO188" s="2"/>
      <c r="AP188" s="2"/>
      <c r="AQ188" s="2"/>
      <c r="AR188" s="4"/>
    </row>
    <row r="189" spans="1:44" ht="18" customHeight="1" x14ac:dyDescent="0.25">
      <c r="A189" s="4"/>
      <c r="B189" s="4"/>
      <c r="D189" s="5">
        <f t="shared" si="0"/>
        <v>0</v>
      </c>
      <c r="E189" s="4"/>
      <c r="F189" s="4"/>
      <c r="I189" s="4"/>
      <c r="J189" s="2"/>
      <c r="K189" s="4"/>
      <c r="M189" s="4"/>
      <c r="N189" s="4"/>
      <c r="O189" s="4"/>
      <c r="R189" s="4"/>
      <c r="S189" s="4"/>
      <c r="T189" s="4"/>
      <c r="U189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V189" s="10"/>
      <c r="W189" s="4"/>
      <c r="X189" s="4"/>
      <c r="Y189" s="10"/>
      <c r="Z189" s="4"/>
      <c r="AA189" s="4"/>
      <c r="AB189" s="10"/>
      <c r="AC189" s="4"/>
      <c r="AD189" s="2"/>
      <c r="AE189" s="10"/>
      <c r="AF189" s="2"/>
      <c r="AG189" s="2"/>
      <c r="AH189" s="10"/>
      <c r="AI189" s="2"/>
      <c r="AJ189" s="2"/>
      <c r="AK189" s="2"/>
      <c r="AL189" s="2"/>
      <c r="AM189" s="2"/>
      <c r="AN189" s="2"/>
      <c r="AO189" s="2"/>
      <c r="AP189" s="2"/>
      <c r="AQ189" s="2"/>
      <c r="AR189" s="4"/>
    </row>
    <row r="190" spans="1:44" ht="18" customHeight="1" x14ac:dyDescent="0.25">
      <c r="A190" s="4"/>
      <c r="B190" s="4"/>
      <c r="D190" s="5">
        <f t="shared" si="0"/>
        <v>0</v>
      </c>
      <c r="E190" s="4"/>
      <c r="F190" s="4"/>
      <c r="I190" s="4"/>
      <c r="J190" s="2"/>
      <c r="K190" s="4"/>
      <c r="M190" s="4"/>
      <c r="N190" s="4"/>
      <c r="O190" s="4"/>
      <c r="R190" s="4"/>
      <c r="S190" s="4"/>
      <c r="T190" s="4"/>
      <c r="U190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V190" s="10"/>
      <c r="W190" s="4"/>
      <c r="X190" s="4"/>
      <c r="Y190" s="10"/>
      <c r="Z190" s="4"/>
      <c r="AA190" s="4"/>
      <c r="AB190" s="10"/>
      <c r="AC190" s="4"/>
      <c r="AD190" s="2"/>
      <c r="AE190" s="10"/>
      <c r="AF190" s="2"/>
      <c r="AG190" s="2"/>
      <c r="AH190" s="10"/>
      <c r="AI190" s="2"/>
      <c r="AJ190" s="2"/>
      <c r="AK190" s="2"/>
      <c r="AL190" s="2"/>
      <c r="AM190" s="2"/>
      <c r="AN190" s="2"/>
      <c r="AO190" s="2"/>
      <c r="AP190" s="2"/>
      <c r="AQ190" s="2"/>
      <c r="AR190" s="4"/>
    </row>
    <row r="191" spans="1:44" ht="18" customHeight="1" x14ac:dyDescent="0.25">
      <c r="A191" s="4"/>
      <c r="B191" s="4"/>
      <c r="D191" s="5">
        <f t="shared" si="0"/>
        <v>0</v>
      </c>
      <c r="E191" s="4"/>
      <c r="F191" s="4"/>
      <c r="I191" s="4"/>
      <c r="J191" s="2"/>
      <c r="K191" s="4"/>
      <c r="M191" s="4"/>
      <c r="N191" s="4"/>
      <c r="O191" s="4"/>
      <c r="R191" s="4"/>
      <c r="S191" s="4"/>
      <c r="T191" s="4"/>
      <c r="U191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V191" s="10"/>
      <c r="W191" s="4"/>
      <c r="X191" s="4"/>
      <c r="Y191" s="10"/>
      <c r="Z191" s="4"/>
      <c r="AA191" s="4"/>
      <c r="AB191" s="10"/>
      <c r="AC191" s="4"/>
      <c r="AD191" s="2"/>
      <c r="AE191" s="10"/>
      <c r="AF191" s="2"/>
      <c r="AG191" s="2"/>
      <c r="AH191" s="10"/>
      <c r="AI191" s="2"/>
      <c r="AJ191" s="2"/>
      <c r="AK191" s="2"/>
      <c r="AL191" s="2"/>
      <c r="AM191" s="2"/>
      <c r="AN191" s="2"/>
      <c r="AO191" s="2"/>
      <c r="AP191" s="2"/>
      <c r="AQ191" s="2"/>
      <c r="AR191" s="4"/>
    </row>
    <row r="192" spans="1:44" ht="18" customHeight="1" x14ac:dyDescent="0.25">
      <c r="A192" s="4"/>
      <c r="B192" s="4"/>
      <c r="D192" s="5">
        <f t="shared" si="0"/>
        <v>0</v>
      </c>
      <c r="E192" s="4"/>
      <c r="F192" s="4"/>
      <c r="I192" s="4"/>
      <c r="J192" s="2"/>
      <c r="K192" s="4"/>
      <c r="M192" s="4"/>
      <c r="N192" s="4"/>
      <c r="O192" s="4"/>
      <c r="R192" s="4"/>
      <c r="S192" s="4"/>
      <c r="T192" s="4"/>
      <c r="U192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V192" s="10"/>
      <c r="W192" s="4"/>
      <c r="X192" s="4"/>
      <c r="Y192" s="10"/>
      <c r="Z192" s="4"/>
      <c r="AA192" s="4"/>
      <c r="AB192" s="10"/>
      <c r="AC192" s="4"/>
      <c r="AD192" s="2"/>
      <c r="AE192" s="10"/>
      <c r="AF192" s="2"/>
      <c r="AG192" s="2"/>
      <c r="AH192" s="10"/>
      <c r="AI192" s="2"/>
      <c r="AJ192" s="2"/>
      <c r="AK192" s="2"/>
      <c r="AL192" s="2"/>
      <c r="AM192" s="2"/>
      <c r="AN192" s="2"/>
      <c r="AO192" s="2"/>
      <c r="AP192" s="2"/>
      <c r="AQ192" s="2"/>
      <c r="AR192" s="4"/>
    </row>
    <row r="193" spans="1:44" ht="18" customHeight="1" x14ac:dyDescent="0.25">
      <c r="A193" s="4"/>
      <c r="B193" s="4"/>
      <c r="D193" s="5">
        <f t="shared" si="0"/>
        <v>0</v>
      </c>
      <c r="E193" s="4"/>
      <c r="F193" s="4"/>
      <c r="I193" s="4"/>
      <c r="J193" s="2"/>
      <c r="K193" s="4"/>
      <c r="M193" s="4"/>
      <c r="N193" s="4"/>
      <c r="O193" s="4"/>
      <c r="R193" s="4"/>
      <c r="S193" s="4"/>
      <c r="T193" s="4"/>
      <c r="U193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V193" s="10"/>
      <c r="W193" s="4"/>
      <c r="X193" s="4"/>
      <c r="Y193" s="10"/>
      <c r="Z193" s="4"/>
      <c r="AA193" s="4"/>
      <c r="AB193" s="10"/>
      <c r="AC193" s="4"/>
      <c r="AD193" s="2"/>
      <c r="AE193" s="10"/>
      <c r="AF193" s="2"/>
      <c r="AG193" s="2"/>
      <c r="AH193" s="10"/>
      <c r="AI193" s="2"/>
      <c r="AJ193" s="2"/>
      <c r="AK193" s="2"/>
      <c r="AL193" s="2"/>
      <c r="AM193" s="2"/>
      <c r="AN193" s="2"/>
      <c r="AO193" s="2"/>
      <c r="AP193" s="2"/>
      <c r="AQ193" s="2"/>
      <c r="AR193" s="4"/>
    </row>
    <row r="194" spans="1:44" ht="18" customHeight="1" x14ac:dyDescent="0.25">
      <c r="A194" s="4"/>
      <c r="B194" s="4"/>
      <c r="D194" s="5">
        <f t="shared" si="0"/>
        <v>0</v>
      </c>
      <c r="E194" s="4"/>
      <c r="F194" s="4"/>
      <c r="I194" s="4"/>
      <c r="J194" s="2"/>
      <c r="K194" s="4"/>
      <c r="M194" s="4"/>
      <c r="N194" s="4"/>
      <c r="O194" s="4"/>
      <c r="R194" s="4"/>
      <c r="S194" s="4"/>
      <c r="T194" s="4"/>
      <c r="U194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V194" s="10"/>
      <c r="W194" s="4"/>
      <c r="X194" s="4"/>
      <c r="Y194" s="10"/>
      <c r="Z194" s="4"/>
      <c r="AA194" s="4"/>
      <c r="AB194" s="10"/>
      <c r="AC194" s="4"/>
      <c r="AD194" s="2"/>
      <c r="AE194" s="10"/>
      <c r="AF194" s="2"/>
      <c r="AG194" s="2"/>
      <c r="AH194" s="10"/>
      <c r="AI194" s="2"/>
      <c r="AJ194" s="2"/>
      <c r="AK194" s="2"/>
      <c r="AL194" s="2"/>
      <c r="AM194" s="2"/>
      <c r="AN194" s="2"/>
      <c r="AO194" s="2"/>
      <c r="AP194" s="2"/>
      <c r="AQ194" s="2"/>
      <c r="AR194" s="4"/>
    </row>
    <row r="195" spans="1:44" ht="18" customHeight="1" x14ac:dyDescent="0.25">
      <c r="A195" s="4"/>
      <c r="B195" s="4"/>
      <c r="D195" s="5">
        <f t="shared" si="0"/>
        <v>0</v>
      </c>
      <c r="E195" s="4"/>
      <c r="F195" s="4"/>
      <c r="I195" s="4"/>
      <c r="J195" s="2"/>
      <c r="K195" s="4"/>
      <c r="M195" s="4"/>
      <c r="N195" s="4"/>
      <c r="O195" s="4"/>
      <c r="R195" s="4"/>
      <c r="S195" s="4"/>
      <c r="T195" s="4"/>
      <c r="U195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V195" s="10"/>
      <c r="W195" s="4"/>
      <c r="X195" s="4"/>
      <c r="Y195" s="10"/>
      <c r="Z195" s="4"/>
      <c r="AA195" s="4"/>
      <c r="AB195" s="10"/>
      <c r="AC195" s="4"/>
      <c r="AD195" s="2"/>
      <c r="AE195" s="10"/>
      <c r="AF195" s="2"/>
      <c r="AG195" s="2"/>
      <c r="AH195" s="10"/>
      <c r="AI195" s="2"/>
      <c r="AJ195" s="2"/>
      <c r="AK195" s="2"/>
      <c r="AL195" s="2"/>
      <c r="AM195" s="2"/>
      <c r="AN195" s="2"/>
      <c r="AO195" s="2"/>
      <c r="AP195" s="2"/>
      <c r="AQ195" s="2"/>
      <c r="AR195" s="4"/>
    </row>
    <row r="196" spans="1:44" ht="18" customHeight="1" x14ac:dyDescent="0.25">
      <c r="A196" s="4"/>
      <c r="B196" s="4"/>
      <c r="D196" s="5">
        <f t="shared" si="0"/>
        <v>0</v>
      </c>
      <c r="E196" s="4"/>
      <c r="F196" s="4"/>
      <c r="I196" s="4"/>
      <c r="J196" s="2"/>
      <c r="K196" s="4"/>
      <c r="M196" s="4"/>
      <c r="N196" s="4"/>
      <c r="O196" s="4"/>
      <c r="R196" s="4"/>
      <c r="S196" s="4"/>
      <c r="T196" s="4"/>
      <c r="U196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V196" s="10"/>
      <c r="W196" s="4"/>
      <c r="X196" s="4"/>
      <c r="Y196" s="10"/>
      <c r="Z196" s="4"/>
      <c r="AA196" s="4"/>
      <c r="AB196" s="10"/>
      <c r="AC196" s="4"/>
      <c r="AD196" s="2"/>
      <c r="AE196" s="10"/>
      <c r="AF196" s="2"/>
      <c r="AG196" s="2"/>
      <c r="AH196" s="10"/>
      <c r="AI196" s="2"/>
      <c r="AJ196" s="2"/>
      <c r="AK196" s="2"/>
      <c r="AL196" s="2"/>
      <c r="AM196" s="2"/>
      <c r="AN196" s="2"/>
      <c r="AO196" s="2"/>
      <c r="AP196" s="2"/>
      <c r="AQ196" s="2"/>
      <c r="AR196" s="4"/>
    </row>
    <row r="197" spans="1:44" ht="18" customHeight="1" x14ac:dyDescent="0.25">
      <c r="A197" s="4"/>
      <c r="B197" s="4"/>
      <c r="D197" s="5">
        <f t="shared" si="0"/>
        <v>0</v>
      </c>
      <c r="E197" s="4"/>
      <c r="F197" s="4"/>
      <c r="I197" s="4"/>
      <c r="J197" s="2"/>
      <c r="K197" s="4"/>
      <c r="M197" s="4"/>
      <c r="N197" s="4"/>
      <c r="O197" s="4"/>
      <c r="R197" s="4"/>
      <c r="S197" s="4"/>
      <c r="T197" s="4"/>
      <c r="U197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V197" s="10"/>
      <c r="W197" s="4"/>
      <c r="X197" s="4"/>
      <c r="Y197" s="10"/>
      <c r="Z197" s="4"/>
      <c r="AA197" s="4"/>
      <c r="AB197" s="10"/>
      <c r="AC197" s="4"/>
      <c r="AD197" s="2"/>
      <c r="AE197" s="10"/>
      <c r="AF197" s="2"/>
      <c r="AG197" s="2"/>
      <c r="AH197" s="10"/>
      <c r="AI197" s="2"/>
      <c r="AJ197" s="2"/>
      <c r="AK197" s="2"/>
      <c r="AL197" s="2"/>
      <c r="AM197" s="2"/>
      <c r="AN197" s="2"/>
      <c r="AO197" s="2"/>
      <c r="AP197" s="2"/>
      <c r="AQ197" s="2"/>
      <c r="AR197" s="4"/>
    </row>
    <row r="198" spans="1:44" ht="18" customHeight="1" x14ac:dyDescent="0.25">
      <c r="A198" s="4"/>
      <c r="B198" s="4"/>
      <c r="D198" s="5">
        <f t="shared" si="0"/>
        <v>0</v>
      </c>
      <c r="E198" s="4"/>
      <c r="F198" s="4"/>
      <c r="I198" s="4"/>
      <c r="J198" s="2"/>
      <c r="K198" s="4"/>
      <c r="M198" s="4"/>
      <c r="N198" s="4"/>
      <c r="O198" s="4"/>
      <c r="R198" s="4"/>
      <c r="S198" s="4"/>
      <c r="T198" s="4"/>
      <c r="U198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V198" s="10"/>
      <c r="W198" s="4"/>
      <c r="X198" s="4"/>
      <c r="Y198" s="10"/>
      <c r="Z198" s="4"/>
      <c r="AA198" s="4"/>
      <c r="AB198" s="10"/>
      <c r="AC198" s="4"/>
      <c r="AD198" s="2"/>
      <c r="AE198" s="10"/>
      <c r="AF198" s="2"/>
      <c r="AG198" s="2"/>
      <c r="AH198" s="10"/>
      <c r="AI198" s="2"/>
      <c r="AJ198" s="2"/>
      <c r="AK198" s="2"/>
      <c r="AL198" s="2"/>
      <c r="AM198" s="2"/>
      <c r="AN198" s="2"/>
      <c r="AO198" s="2"/>
      <c r="AP198" s="2"/>
      <c r="AQ198" s="2"/>
      <c r="AR198" s="4"/>
    </row>
    <row r="199" spans="1:44" ht="18" customHeight="1" x14ac:dyDescent="0.25">
      <c r="A199" s="4"/>
      <c r="B199" s="4"/>
      <c r="D199" s="5">
        <f t="shared" si="0"/>
        <v>0</v>
      </c>
      <c r="E199" s="4"/>
      <c r="F199" s="4"/>
      <c r="I199" s="4"/>
      <c r="J199" s="2"/>
      <c r="K199" s="4"/>
      <c r="M199" s="4"/>
      <c r="N199" s="4"/>
      <c r="O199" s="4"/>
      <c r="R199" s="4"/>
      <c r="S199" s="4"/>
      <c r="T199" s="4"/>
      <c r="U199" s="5" t="e">
        <f>IF(#REF!&lt;&gt;"",HYPERLINK("https://ecowalaska.bpweb.bp.com/permitvision/editor/#/certificate/BP05-"&amp;TRIM(SUBSTITUTE(LEFT(#REF!,SEARCH("(",#REF!,1)-1),"#","%23"))&amp;"",RIGHT(LEFT(#REF!,SEARCH("(",#REF!,1)-1),LEN(LEFT(#REF!,SEARCH("(",#REF!,1)-1))-SEARCH("#",#REF!)+1)),"")</f>
        <v>#REF!</v>
      </c>
      <c r="V199" s="10"/>
      <c r="W199" s="4"/>
      <c r="X199" s="4"/>
      <c r="Y199" s="10"/>
      <c r="Z199" s="4"/>
      <c r="AA199" s="4"/>
      <c r="AB199" s="10"/>
      <c r="AC199" s="4"/>
      <c r="AD199" s="2"/>
      <c r="AE199" s="10"/>
      <c r="AF199" s="2"/>
      <c r="AG199" s="2"/>
      <c r="AH199" s="10"/>
      <c r="AI199" s="2"/>
      <c r="AJ199" s="2"/>
      <c r="AK199" s="2"/>
      <c r="AL199" s="2"/>
      <c r="AM199" s="2"/>
      <c r="AN199" s="2"/>
      <c r="AO199" s="2"/>
      <c r="AP199" s="2"/>
      <c r="AQ199" s="2"/>
      <c r="AR199" s="4"/>
    </row>
    <row r="200" spans="1:44" ht="18" customHeight="1" x14ac:dyDescent="0.25">
      <c r="F200" s="1"/>
      <c r="G200" s="1"/>
      <c r="H200" s="1"/>
      <c r="Y200" s="10"/>
      <c r="AB200" s="10"/>
      <c r="AE200" s="10"/>
      <c r="AH200" s="10"/>
    </row>
    <row r="201" spans="1:44" ht="18" customHeight="1" x14ac:dyDescent="0.25">
      <c r="F201" s="1"/>
      <c r="G201" s="1"/>
      <c r="H201" s="1"/>
      <c r="Y201" s="10"/>
      <c r="AB201" s="10"/>
      <c r="AE201" s="10"/>
      <c r="AH201" s="10"/>
    </row>
    <row r="202" spans="1:44" ht="18" customHeight="1" x14ac:dyDescent="0.25">
      <c r="F202" s="1"/>
      <c r="G202" s="1"/>
      <c r="H202" s="1"/>
      <c r="Y202" s="10"/>
      <c r="AB202" s="10"/>
      <c r="AE202" s="10"/>
      <c r="AH202" s="10"/>
    </row>
    <row r="203" spans="1:44" ht="18" customHeight="1" x14ac:dyDescent="0.25">
      <c r="F203" s="1"/>
      <c r="G203" s="1"/>
      <c r="H203" s="1"/>
      <c r="Y203" s="10"/>
      <c r="AB203" s="10"/>
      <c r="AE203" s="10"/>
      <c r="AH203" s="10"/>
    </row>
    <row r="204" spans="1:44" ht="18" customHeight="1" x14ac:dyDescent="0.25">
      <c r="F204" s="1"/>
      <c r="G204" s="1"/>
      <c r="H204" s="1"/>
      <c r="Y204" s="10"/>
      <c r="AB204" s="10"/>
      <c r="AE204" s="10"/>
      <c r="AH204" s="10"/>
    </row>
    <row r="205" spans="1:44" ht="18" customHeight="1" x14ac:dyDescent="0.25">
      <c r="F205" s="1"/>
      <c r="G205" s="1"/>
      <c r="H205" s="1"/>
      <c r="Y205" s="10"/>
      <c r="AB205" s="10"/>
      <c r="AE205" s="10"/>
      <c r="AH205" s="10"/>
    </row>
    <row r="206" spans="1:44" ht="18" customHeight="1" x14ac:dyDescent="0.25">
      <c r="F206" s="1"/>
      <c r="G206" s="1"/>
      <c r="H206" s="1"/>
      <c r="Y206" s="10"/>
      <c r="AB206" s="10"/>
      <c r="AE206" s="10"/>
      <c r="AH206" s="10"/>
    </row>
    <row r="207" spans="1:44" ht="18" customHeight="1" x14ac:dyDescent="0.25">
      <c r="F207" s="1"/>
      <c r="G207" s="1"/>
      <c r="H207" s="1"/>
      <c r="Y207" s="10"/>
      <c r="AB207" s="10"/>
      <c r="AE207" s="10"/>
      <c r="AH207" s="10"/>
    </row>
    <row r="208" spans="1:44" ht="18" customHeight="1" x14ac:dyDescent="0.25">
      <c r="F208" s="1"/>
      <c r="G208" s="1"/>
      <c r="H208" s="1"/>
      <c r="Y208" s="10"/>
      <c r="AB208" s="10"/>
      <c r="AE208" s="10"/>
      <c r="AH208" s="10"/>
    </row>
    <row r="209" spans="6:34" ht="18" customHeight="1" x14ac:dyDescent="0.25">
      <c r="F209" s="1"/>
      <c r="G209" s="1"/>
      <c r="H209" s="1"/>
      <c r="Y209" s="10"/>
      <c r="AB209" s="10"/>
      <c r="AE209" s="10"/>
      <c r="AH209" s="10"/>
    </row>
    <row r="210" spans="6:34" ht="18" customHeight="1" x14ac:dyDescent="0.25">
      <c r="F210" s="1"/>
      <c r="G210" s="1"/>
      <c r="H210" s="1"/>
      <c r="Y210" s="10"/>
      <c r="AB210" s="10"/>
      <c r="AE210" s="10"/>
      <c r="AH210" s="10"/>
    </row>
    <row r="211" spans="6:34" ht="18" customHeight="1" x14ac:dyDescent="0.25">
      <c r="F211" s="1"/>
      <c r="G211" s="1"/>
      <c r="H211" s="1"/>
      <c r="Y211" s="10"/>
      <c r="AB211" s="10"/>
      <c r="AE211" s="10"/>
      <c r="AH211" s="10"/>
    </row>
    <row r="212" spans="6:34" ht="18" customHeight="1" x14ac:dyDescent="0.25">
      <c r="F212" s="1"/>
      <c r="G212" s="1"/>
      <c r="H212" s="1"/>
      <c r="Y212" s="10"/>
      <c r="AB212" s="10"/>
      <c r="AE212" s="10"/>
      <c r="AH212" s="10"/>
    </row>
    <row r="213" spans="6:34" ht="18" customHeight="1" x14ac:dyDescent="0.25">
      <c r="F213" s="1"/>
      <c r="G213" s="1"/>
      <c r="H213" s="1"/>
      <c r="Y213" s="10"/>
      <c r="AB213" s="10"/>
      <c r="AE213" s="10"/>
      <c r="AH213" s="10"/>
    </row>
    <row r="214" spans="6:34" ht="18" customHeight="1" x14ac:dyDescent="0.25">
      <c r="F214" s="1"/>
      <c r="G214" s="1"/>
      <c r="H214" s="1"/>
      <c r="Y214" s="10"/>
      <c r="AB214" s="10"/>
      <c r="AE214" s="10"/>
      <c r="AH214" s="10"/>
    </row>
    <row r="215" spans="6:34" ht="18" customHeight="1" x14ac:dyDescent="0.25">
      <c r="F215" s="1"/>
      <c r="G215" s="1"/>
      <c r="H215" s="1"/>
      <c r="Y215" s="10"/>
      <c r="AB215" s="10"/>
      <c r="AE215" s="10"/>
      <c r="AH215" s="10"/>
    </row>
    <row r="216" spans="6:34" ht="18" customHeight="1" x14ac:dyDescent="0.25">
      <c r="F216" s="1"/>
      <c r="G216" s="1"/>
      <c r="H216" s="1"/>
      <c r="Y216" s="10"/>
      <c r="AB216" s="10"/>
      <c r="AE216" s="10"/>
      <c r="AH216" s="10"/>
    </row>
    <row r="217" spans="6:34" ht="18" customHeight="1" x14ac:dyDescent="0.25">
      <c r="F217" s="1"/>
      <c r="G217" s="1"/>
      <c r="H217" s="1"/>
      <c r="Y217" s="10"/>
      <c r="AB217" s="10"/>
      <c r="AE217" s="10"/>
      <c r="AH217" s="10"/>
    </row>
    <row r="218" spans="6:34" ht="18" customHeight="1" x14ac:dyDescent="0.25">
      <c r="F218" s="1"/>
      <c r="G218" s="1"/>
      <c r="H218" s="1"/>
      <c r="Y218" s="10"/>
      <c r="AB218" s="10"/>
      <c r="AE218" s="10"/>
      <c r="AH218" s="10"/>
    </row>
    <row r="219" spans="6:34" ht="18" customHeight="1" x14ac:dyDescent="0.25">
      <c r="F219" s="1"/>
      <c r="G219" s="1"/>
      <c r="H219" s="1"/>
      <c r="Y219" s="10"/>
      <c r="AB219" s="10"/>
      <c r="AE219" s="10"/>
      <c r="AH219" s="10"/>
    </row>
    <row r="220" spans="6:34" ht="18" customHeight="1" x14ac:dyDescent="0.25">
      <c r="F220" s="1"/>
      <c r="G220" s="1"/>
      <c r="H220" s="1"/>
      <c r="Y220" s="10"/>
      <c r="AB220" s="10"/>
      <c r="AE220" s="10"/>
      <c r="AH220" s="10"/>
    </row>
    <row r="221" spans="6:34" ht="18" customHeight="1" x14ac:dyDescent="0.25">
      <c r="F221" s="1"/>
      <c r="G221" s="1"/>
      <c r="H221" s="1"/>
      <c r="Y221" s="10"/>
      <c r="AB221" s="10"/>
      <c r="AE221" s="10"/>
      <c r="AH221" s="10"/>
    </row>
    <row r="222" spans="6:34" ht="18" customHeight="1" x14ac:dyDescent="0.25">
      <c r="F222" s="1"/>
      <c r="G222" s="1"/>
      <c r="H222" s="1"/>
      <c r="Y222" s="10"/>
      <c r="AB222" s="10"/>
      <c r="AE222" s="10"/>
      <c r="AH222" s="10"/>
    </row>
    <row r="223" spans="6:34" ht="18" customHeight="1" x14ac:dyDescent="0.25">
      <c r="F223" s="1"/>
      <c r="G223" s="1"/>
      <c r="H223" s="1"/>
      <c r="Y223" s="10"/>
      <c r="AB223" s="10"/>
      <c r="AE223" s="10"/>
      <c r="AH223" s="10"/>
    </row>
    <row r="224" spans="6:34" ht="18" customHeight="1" x14ac:dyDescent="0.25">
      <c r="F224" s="1"/>
      <c r="G224" s="1"/>
      <c r="H224" s="1"/>
      <c r="Y224" s="10"/>
      <c r="AB224" s="10"/>
      <c r="AE224" s="10"/>
      <c r="AH224" s="10"/>
    </row>
    <row r="225" spans="25:34" ht="18" customHeight="1" x14ac:dyDescent="0.25">
      <c r="Y225" s="10"/>
      <c r="AB225" s="10"/>
      <c r="AE225" s="10"/>
      <c r="AH225" s="10"/>
    </row>
    <row r="226" spans="25:34" ht="18" customHeight="1" x14ac:dyDescent="0.25">
      <c r="Y226" s="10"/>
      <c r="AB226" s="10"/>
      <c r="AE226" s="10"/>
      <c r="AH226" s="10"/>
    </row>
    <row r="227" spans="25:34" ht="18" customHeight="1" x14ac:dyDescent="0.25">
      <c r="Y227" s="10"/>
      <c r="AB227" s="10"/>
      <c r="AE227" s="10"/>
      <c r="AH227" s="10"/>
    </row>
    <row r="228" spans="25:34" ht="18" customHeight="1" x14ac:dyDescent="0.25">
      <c r="Y228" s="10"/>
      <c r="AB228" s="10"/>
      <c r="AE228" s="10"/>
      <c r="AH228" s="10"/>
    </row>
    <row r="229" spans="25:34" ht="18" customHeight="1" x14ac:dyDescent="0.25">
      <c r="Y229" s="10"/>
      <c r="AB229" s="10"/>
      <c r="AE229" s="10"/>
      <c r="AH229" s="10"/>
    </row>
    <row r="230" spans="25:34" ht="18" customHeight="1" x14ac:dyDescent="0.25">
      <c r="Y230" s="10"/>
      <c r="AB230" s="10"/>
      <c r="AE230" s="10"/>
      <c r="AH230" s="10"/>
    </row>
    <row r="231" spans="25:34" ht="18" customHeight="1" x14ac:dyDescent="0.25">
      <c r="Y231" s="10"/>
      <c r="AB231" s="10"/>
      <c r="AE231" s="10"/>
      <c r="AH231" s="10"/>
    </row>
    <row r="232" spans="25:34" ht="18" customHeight="1" x14ac:dyDescent="0.25">
      <c r="Y232" s="10"/>
      <c r="AB232" s="10"/>
      <c r="AE232" s="10"/>
      <c r="AH232" s="10"/>
    </row>
    <row r="233" spans="25:34" ht="18" customHeight="1" x14ac:dyDescent="0.25">
      <c r="Y233" s="10"/>
      <c r="AB233" s="10"/>
      <c r="AE233" s="10"/>
      <c r="AH233" s="10"/>
    </row>
    <row r="234" spans="25:34" ht="18" customHeight="1" x14ac:dyDescent="0.25">
      <c r="Y234" s="10"/>
      <c r="AB234" s="10"/>
      <c r="AE234" s="10"/>
      <c r="AH234" s="10"/>
    </row>
    <row r="235" spans="25:34" ht="18" customHeight="1" x14ac:dyDescent="0.25">
      <c r="Y235" s="10"/>
      <c r="AB235" s="10"/>
      <c r="AE235" s="10"/>
      <c r="AH235" s="10"/>
    </row>
    <row r="236" spans="25:34" ht="18" customHeight="1" x14ac:dyDescent="0.25">
      <c r="Y236" s="10"/>
      <c r="AB236" s="10"/>
      <c r="AE236" s="10"/>
      <c r="AH236" s="10"/>
    </row>
    <row r="237" spans="25:34" ht="18" customHeight="1" x14ac:dyDescent="0.25">
      <c r="Y237" s="10"/>
      <c r="AB237" s="10"/>
      <c r="AE237" s="10"/>
      <c r="AH237" s="10"/>
    </row>
    <row r="238" spans="25:34" ht="18" customHeight="1" x14ac:dyDescent="0.25">
      <c r="Y238" s="10"/>
      <c r="AB238" s="10"/>
      <c r="AE238" s="10"/>
      <c r="AH238" s="10"/>
    </row>
    <row r="239" spans="25:34" ht="18" customHeight="1" x14ac:dyDescent="0.25">
      <c r="Y239" s="10"/>
      <c r="AB239" s="10"/>
      <c r="AE239" s="10"/>
      <c r="AH239" s="10"/>
    </row>
    <row r="240" spans="25:34" ht="18" customHeight="1" x14ac:dyDescent="0.25">
      <c r="Y240" s="10"/>
      <c r="AB240" s="10"/>
      <c r="AE240" s="10"/>
      <c r="AH240" s="10"/>
    </row>
    <row r="241" spans="25:46" ht="18" customHeight="1" x14ac:dyDescent="0.25">
      <c r="Y241" s="10"/>
      <c r="AB241" s="10"/>
      <c r="AE241" s="10"/>
      <c r="AH241" s="10"/>
    </row>
    <row r="242" spans="25:46" ht="18" customHeight="1" x14ac:dyDescent="0.25">
      <c r="Y242" s="10"/>
      <c r="AB242" s="10"/>
      <c r="AE242" s="10"/>
      <c r="AH242" s="10"/>
    </row>
    <row r="243" spans="25:46" ht="18" customHeight="1" x14ac:dyDescent="0.25">
      <c r="Y243" s="10"/>
      <c r="AB243" s="10"/>
      <c r="AE243" s="10"/>
      <c r="AH243" s="10"/>
    </row>
    <row r="244" spans="25:46" ht="18" customHeight="1" x14ac:dyDescent="0.25">
      <c r="Y244" s="10"/>
      <c r="AB244" s="10"/>
      <c r="AE244" s="10"/>
      <c r="AH244" s="10"/>
    </row>
    <row r="249" spans="25:46" ht="18" customHeight="1" x14ac:dyDescent="0.25">
      <c r="AT249" s="3"/>
    </row>
    <row r="250" spans="25:46" ht="18" customHeight="1" x14ac:dyDescent="0.25">
      <c r="AT250" s="3"/>
    </row>
    <row r="251" spans="25:46" ht="18" customHeight="1" x14ac:dyDescent="0.25">
      <c r="AT251" s="3"/>
    </row>
    <row r="252" spans="25:46" ht="18" customHeight="1" x14ac:dyDescent="0.25">
      <c r="AT252" s="3"/>
    </row>
    <row r="253" spans="25:46" ht="18" customHeight="1" x14ac:dyDescent="0.25">
      <c r="AT253" s="3"/>
    </row>
    <row r="254" spans="25:46" ht="18" customHeight="1" x14ac:dyDescent="0.25">
      <c r="AT254" s="3"/>
    </row>
  </sheetData>
  <conditionalFormatting sqref="V2:V1048576">
    <cfRule type="expression" dxfId="175" priority="9">
      <formula>COUNTIF(W2,"*2*")</formula>
    </cfRule>
    <cfRule type="expression" dxfId="174" priority="96">
      <formula>V2=""</formula>
    </cfRule>
    <cfRule type="expression" dxfId="173" priority="97">
      <formula>COUNTIF(V2,"*Draft*")</formula>
    </cfRule>
    <cfRule type="expression" dxfId="172" priority="98">
      <formula>COUNTIF(V2,"*TRA*")</formula>
    </cfRule>
    <cfRule type="expression" dxfId="171" priority="99">
      <formula>COUNTIF(V2,"*RTV*")</formula>
    </cfRule>
    <cfRule type="expression" dxfId="170" priority="100">
      <formula>COUNTIF(V2,"*Verified*")</formula>
    </cfRule>
    <cfRule type="expression" dxfId="169" priority="101">
      <formula>COUNTIF(V2,"*Authorised")</formula>
    </cfRule>
    <cfRule type="expression" dxfId="168" priority="107">
      <formula>COUNTIF(V2,"*Closed*")</formula>
    </cfRule>
    <cfRule type="expression" dxfId="167" priority="3028">
      <formula>COUNTIF(V2,"*Suspended*")</formula>
    </cfRule>
  </conditionalFormatting>
  <conditionalFormatting sqref="S2:S1048576">
    <cfRule type="expression" dxfId="166" priority="56">
      <formula>COUNTIF(S2,"*Y*")</formula>
    </cfRule>
  </conditionalFormatting>
  <conditionalFormatting sqref="R2:R1048576">
    <cfRule type="expression" dxfId="165" priority="55">
      <formula>COUNTIF(R2,"*Y*")</formula>
    </cfRule>
  </conditionalFormatting>
  <conditionalFormatting sqref="A1:AV1048576">
    <cfRule type="expression" dxfId="164" priority="54">
      <formula>NOT(COUNTIF($C1,"TK*"))</formula>
    </cfRule>
  </conditionalFormatting>
  <conditionalFormatting sqref="A1:XFD87 A2:AV1048576">
    <cfRule type="expression" priority="53" stopIfTrue="1">
      <formula>ISBLANK($C1)=TRUE</formula>
    </cfRule>
  </conditionalFormatting>
  <conditionalFormatting sqref="Y2:Y244">
    <cfRule type="expression" dxfId="163" priority="38">
      <formula>COUNTIF(Y2,"*Suspended*")</formula>
    </cfRule>
  </conditionalFormatting>
  <conditionalFormatting sqref="Y2:Y1048576">
    <cfRule type="expression" dxfId="162" priority="8">
      <formula>COUNTIF(Z2,"*2*")</formula>
    </cfRule>
    <cfRule type="expression" dxfId="161" priority="32">
      <formula>COUNTIF(Y2,"*Draft*")</formula>
    </cfRule>
    <cfRule type="expression" dxfId="160" priority="33">
      <formula>COUNTIF(Y2,"*TRA*")</formula>
    </cfRule>
    <cfRule type="expression" dxfId="159" priority="34">
      <formula>COUNTIF(Y2,"*RTV*")</formula>
    </cfRule>
    <cfRule type="expression" dxfId="158" priority="35">
      <formula>COUNTIF(Y2,"*Verified*")</formula>
    </cfRule>
    <cfRule type="expression" dxfId="157" priority="36">
      <formula>COUNTIF(Y2,"*Authorised")</formula>
    </cfRule>
    <cfRule type="expression" dxfId="156" priority="37">
      <formula>COUNTIF(Y2,"*Closed*")</formula>
    </cfRule>
  </conditionalFormatting>
  <conditionalFormatting sqref="AE2:AE1048576 AB2:AB1048576">
    <cfRule type="expression" dxfId="155" priority="6">
      <formula>COUNTIF(AC2,"*2*")</formula>
    </cfRule>
    <cfRule type="expression" dxfId="154" priority="17">
      <formula>COUNTIF(AB2,"*Draft*")</formula>
    </cfRule>
    <cfRule type="expression" dxfId="153" priority="18">
      <formula>COUNTIF(AB2,"*TRA*")</formula>
    </cfRule>
    <cfRule type="expression" dxfId="152" priority="19">
      <formula>COUNTIF(AB2,"*RTV*")</formula>
    </cfRule>
    <cfRule type="expression" dxfId="151" priority="20">
      <formula>COUNTIF(AB2,"*Verified*")</formula>
    </cfRule>
    <cfRule type="expression" dxfId="150" priority="21">
      <formula>COUNTIF(AB2,"*Authorised")</formula>
    </cfRule>
    <cfRule type="expression" dxfId="149" priority="22">
      <formula>COUNTIF(AB2,"*Closed*")</formula>
    </cfRule>
    <cfRule type="expression" dxfId="148" priority="23">
      <formula>COUNTIF(AB2,"*Suspended*")</formula>
    </cfRule>
  </conditionalFormatting>
  <conditionalFormatting sqref="AH2:AH1048576">
    <cfRule type="expression" dxfId="147" priority="10">
      <formula>COUNTIF(AH2,"*Draft*")</formula>
    </cfRule>
    <cfRule type="expression" dxfId="146" priority="11">
      <formula>COUNTIF(AH2,"*TRA*")</formula>
    </cfRule>
    <cfRule type="expression" dxfId="145" priority="12">
      <formula>COUNTIF(AH2,"*RTV*")</formula>
    </cfRule>
    <cfRule type="expression" dxfId="144" priority="13">
      <formula>COUNTIF(AH2,"*Verified*")</formula>
    </cfRule>
    <cfRule type="expression" dxfId="143" priority="14">
      <formula>COUNTIF(AH2,"*Authorised")</formula>
    </cfRule>
    <cfRule type="expression" dxfId="142" priority="15">
      <formula>COUNTIF(AH2,"*Closed*")</formula>
    </cfRule>
    <cfRule type="expression" dxfId="141" priority="16">
      <formula>COUNTIF(AH2,"*Suspended*")</formula>
    </cfRule>
  </conditionalFormatting>
  <conditionalFormatting sqref="G2:I1048576">
    <cfRule type="expression" dxfId="140" priority="3029">
      <formula>IF($H2&lt;TODAY(),TRUE,)</formula>
    </cfRule>
    <cfRule type="expression" dxfId="139" priority="3030">
      <formula>ISBLANK($G2)=TRUE</formula>
    </cfRule>
  </conditionalFormatting>
  <conditionalFormatting sqref="AK100:AK1048576 AK2:AK98">
    <cfRule type="expression" priority="3">
      <formula>COUNTIF(AL1,"*2*")</formula>
    </cfRule>
    <cfRule type="expression" dxfId="138" priority="4">
      <formula>COUNTIF(AL1,"*2*")</formula>
    </cfRule>
  </conditionalFormatting>
  <conditionalFormatting sqref="AW88:XFD89">
    <cfRule type="expression" priority="3215" stopIfTrue="1">
      <formula>ISBLANK(#REF!)=TRUE</formula>
    </cfRule>
  </conditionalFormatting>
  <conditionalFormatting sqref="AK99 AK88">
    <cfRule type="expression" priority="3318">
      <formula>COUNTIF(#REF!,"*2*")</formula>
    </cfRule>
    <cfRule type="expression" dxfId="137" priority="3319">
      <formula>COUNTIF(#REF!,"*2*")</formula>
    </cfRule>
  </conditionalFormatting>
  <conditionalFormatting sqref="A2:AV1048576">
    <cfRule type="expression" dxfId="136" priority="2">
      <formula>AND(DATEVALUE($C$2)&lt;=DATEVALUE($C2)-14,DATEVALUE($C2)-14&lt;=DATEVALUE($C$2))</formula>
    </cfRule>
  </conditionalFormatting>
  <conditionalFormatting sqref="AW90:XFD1048576">
    <cfRule type="expression" priority="3597" stopIfTrue="1">
      <formula>ISBLANK($C99)=TRUE</formula>
    </cfRule>
  </conditionalFormatting>
  <printOptions horizontalCentered="1" verticalCentered="1"/>
  <pageMargins left="0" right="4.6874999999999998E-3" top="0" bottom="0" header="0" footer="0"/>
  <pageSetup paperSize="17" scale="66" fitToHeight="0" orientation="landscape" horizontalDpi="1200" verticalDpi="1200" r:id="rId1"/>
  <rowBreaks count="1" manualBreakCount="1">
    <brk id="66" max="47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4801D-33CC-4027-B0FB-84E5CDBA9E3C}">
  <sheetPr codeName="Sheet2">
    <pageSetUpPr fitToPage="1"/>
  </sheetPr>
  <dimension ref="A1:AU1969"/>
  <sheetViews>
    <sheetView tabSelected="1" topLeftCell="E80" zoomScale="70" zoomScaleNormal="70" workbookViewId="0">
      <selection activeCell="B56" sqref="B56"/>
    </sheetView>
  </sheetViews>
  <sheetFormatPr defaultRowHeight="15" x14ac:dyDescent="0.25"/>
  <cols>
    <col min="1" max="2" width="11.7109375" style="1" customWidth="1"/>
    <col min="3" max="3" width="13.7109375" style="1" hidden="1" customWidth="1"/>
    <col min="4" max="4" width="81.140625" style="1" customWidth="1"/>
    <col min="5" max="5" width="26.28515625" style="1" customWidth="1"/>
    <col min="6" max="6" width="15" style="1" customWidth="1"/>
    <col min="7" max="7" width="14.7109375" style="1" customWidth="1"/>
    <col min="8" max="8" width="15.140625" style="1" hidden="1" customWidth="1"/>
    <col min="9" max="9" width="14.5703125" style="1" hidden="1" customWidth="1"/>
    <col min="10" max="10" width="9.7109375" style="1" hidden="1" customWidth="1"/>
    <col min="11" max="11" width="12.85546875" style="1" hidden="1" customWidth="1"/>
    <col min="12" max="12" width="4.42578125" style="1" customWidth="1"/>
    <col min="13" max="13" width="5.28515625" style="1" customWidth="1"/>
    <col min="14" max="14" width="3.7109375" style="1" customWidth="1"/>
    <col min="15" max="15" width="7.42578125" style="1" hidden="1" customWidth="1"/>
    <col min="16" max="16" width="7.5703125" style="1" hidden="1" customWidth="1"/>
    <col min="17" max="17" width="3.42578125" style="1" customWidth="1"/>
    <col min="18" max="18" width="3.7109375" style="1" customWidth="1"/>
    <col min="19" max="19" width="8.7109375" style="1" bestFit="1" customWidth="1"/>
    <col min="20" max="20" width="14" style="1" hidden="1" customWidth="1"/>
    <col min="21" max="21" width="14" style="8" customWidth="1"/>
    <col min="22" max="22" width="25.28515625" style="1" hidden="1" customWidth="1"/>
    <col min="23" max="23" width="14.140625" style="1" hidden="1" customWidth="1"/>
    <col min="24" max="24" width="11.85546875" style="8" customWidth="1"/>
    <col min="25" max="25" width="17.28515625" style="1" hidden="1" customWidth="1"/>
    <col min="26" max="26" width="10.7109375" style="1" hidden="1" customWidth="1"/>
    <col min="27" max="27" width="10.85546875" style="8" customWidth="1"/>
    <col min="28" max="28" width="16" style="1" hidden="1" customWidth="1"/>
    <col min="29" max="29" width="11" style="1" hidden="1" customWidth="1"/>
    <col min="30" max="30" width="10.28515625" style="8" customWidth="1"/>
    <col min="31" max="31" width="14.7109375" style="1" customWidth="1"/>
    <col min="32" max="32" width="10.7109375" style="1" customWidth="1"/>
    <col min="33" max="33" width="10.42578125" style="1" hidden="1" customWidth="1"/>
    <col min="34" max="34" width="10.7109375" style="1" hidden="1" customWidth="1"/>
    <col min="35" max="35" width="37.28515625" style="1" hidden="1" customWidth="1"/>
    <col min="36" max="36" width="10.42578125" style="1" hidden="1" customWidth="1"/>
    <col min="37" max="37" width="27.28515625" style="1" hidden="1" customWidth="1"/>
    <col min="38" max="38" width="11.5703125" style="1" hidden="1" customWidth="1"/>
    <col min="39" max="39" width="6.85546875" style="1" hidden="1" customWidth="1"/>
    <col min="40" max="40" width="6.42578125" style="1" hidden="1" customWidth="1"/>
    <col min="41" max="41" width="6.7109375" style="1" hidden="1" customWidth="1"/>
    <col min="42" max="42" width="9.85546875" style="1" hidden="1" customWidth="1"/>
    <col min="43" max="43" width="9.7109375" style="1" hidden="1" customWidth="1"/>
    <col min="44" max="44" width="17.85546875" style="1" hidden="1" customWidth="1"/>
    <col min="45" max="45" width="12.85546875" style="1" hidden="1" customWidth="1"/>
    <col min="46" max="46" width="13" style="1" hidden="1" customWidth="1"/>
    <col min="47" max="47" width="108.42578125" style="1" customWidth="1"/>
    <col min="48" max="16384" width="9.140625" style="1"/>
  </cols>
  <sheetData>
    <row r="1" spans="1:47" x14ac:dyDescent="0.25">
      <c r="A1" s="1" t="s">
        <v>0</v>
      </c>
      <c r="B1" s="1" t="s">
        <v>2</v>
      </c>
      <c r="C1" s="1" t="s">
        <v>1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750</v>
      </c>
      <c r="U1" s="8" t="s">
        <v>823</v>
      </c>
      <c r="V1" s="1" t="s">
        <v>751</v>
      </c>
      <c r="W1" s="1" t="s">
        <v>752</v>
      </c>
      <c r="X1" s="7" t="s">
        <v>764</v>
      </c>
      <c r="Y1" s="1" t="s">
        <v>753</v>
      </c>
      <c r="Z1" s="1" t="s">
        <v>754</v>
      </c>
      <c r="AA1" s="7" t="s">
        <v>765</v>
      </c>
      <c r="AB1" s="1" t="s">
        <v>755</v>
      </c>
      <c r="AC1" s="1" t="s">
        <v>756</v>
      </c>
      <c r="AD1" s="7" t="s">
        <v>766</v>
      </c>
      <c r="AE1" s="1" t="s">
        <v>757</v>
      </c>
      <c r="AF1" s="1" t="s">
        <v>758</v>
      </c>
      <c r="AG1" s="4" t="s">
        <v>767</v>
      </c>
      <c r="AH1" s="1" t="s">
        <v>759</v>
      </c>
      <c r="AI1" s="1" t="s">
        <v>760</v>
      </c>
      <c r="AJ1" s="4" t="s">
        <v>768</v>
      </c>
      <c r="AK1" s="1" t="s">
        <v>761</v>
      </c>
      <c r="AL1" s="1" t="s">
        <v>19</v>
      </c>
      <c r="AM1" s="1" t="s">
        <v>20</v>
      </c>
      <c r="AN1" s="1" t="s">
        <v>21</v>
      </c>
      <c r="AO1" s="1" t="s">
        <v>22</v>
      </c>
      <c r="AP1" s="1" t="s">
        <v>23</v>
      </c>
      <c r="AQ1" s="1" t="s">
        <v>24</v>
      </c>
      <c r="AR1" s="1" t="s">
        <v>25</v>
      </c>
      <c r="AS1" s="1" t="s">
        <v>26</v>
      </c>
      <c r="AT1" s="1" t="s">
        <v>27</v>
      </c>
      <c r="AU1" s="1" t="s">
        <v>28</v>
      </c>
    </row>
    <row r="2" spans="1:47" ht="18.75" x14ac:dyDescent="0.3">
      <c r="A2" s="12"/>
      <c r="B2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1/10/2019</v>
      </c>
      <c r="C2" s="12" t="s">
        <v>47</v>
      </c>
      <c r="D2" s="12"/>
      <c r="E2" s="12"/>
      <c r="F2" s="13"/>
      <c r="G2" s="13"/>
      <c r="H2" s="12"/>
      <c r="I2" s="13"/>
      <c r="J2" s="12"/>
      <c r="K2" s="12"/>
      <c r="L2" s="14"/>
      <c r="M2" s="14"/>
      <c r="N2" s="14"/>
      <c r="O2" s="14"/>
      <c r="P2" s="14"/>
      <c r="Q2" s="12"/>
      <c r="R2" s="12"/>
      <c r="S2" s="12"/>
      <c r="T2" s="12" t="s">
        <v>762</v>
      </c>
      <c r="U2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2" s="12" t="s">
        <v>762</v>
      </c>
      <c r="W2" s="12" t="s">
        <v>762</v>
      </c>
      <c r="X2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2" s="12" t="s">
        <v>762</v>
      </c>
      <c r="Z2" s="12" t="s">
        <v>762</v>
      </c>
      <c r="AA2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2" s="12" t="s">
        <v>762</v>
      </c>
      <c r="AC2" s="12" t="s">
        <v>762</v>
      </c>
      <c r="AD2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2" s="12" t="s">
        <v>762</v>
      </c>
      <c r="AF2" s="12" t="s">
        <v>762</v>
      </c>
      <c r="AG2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2" s="12" t="s">
        <v>762</v>
      </c>
      <c r="AI2" s="12" t="s">
        <v>762</v>
      </c>
      <c r="AJ2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2" s="12" t="s">
        <v>762</v>
      </c>
      <c r="AL2" s="12"/>
      <c r="AM2" s="12"/>
      <c r="AN2" s="12"/>
      <c r="AO2" s="12"/>
      <c r="AP2" s="12"/>
      <c r="AQ2" s="12"/>
      <c r="AR2" s="14"/>
      <c r="AS2" s="14"/>
      <c r="AT2" s="13">
        <v>43475</v>
      </c>
      <c r="AU2" s="14"/>
    </row>
    <row r="3" spans="1:47" ht="18.75" x14ac:dyDescent="0.3">
      <c r="A3" s="12" t="s">
        <v>75</v>
      </c>
      <c r="B3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TK841827</v>
      </c>
      <c r="C3" s="12" t="s">
        <v>76</v>
      </c>
      <c r="D3" s="12" t="s">
        <v>77</v>
      </c>
      <c r="E3" s="12" t="s">
        <v>69</v>
      </c>
      <c r="F3" s="13">
        <v>43473</v>
      </c>
      <c r="G3" s="13">
        <v>43474</v>
      </c>
      <c r="H3" s="12" t="s">
        <v>36</v>
      </c>
      <c r="I3" s="13">
        <v>43433</v>
      </c>
      <c r="J3" s="12" t="s">
        <v>66</v>
      </c>
      <c r="K3" s="12" t="s">
        <v>29</v>
      </c>
      <c r="L3" s="14">
        <v>3</v>
      </c>
      <c r="M3" s="14">
        <v>69</v>
      </c>
      <c r="N3" s="14">
        <v>3</v>
      </c>
      <c r="O3" s="14"/>
      <c r="P3" s="14"/>
      <c r="Q3" s="12" t="s">
        <v>30</v>
      </c>
      <c r="R3" s="12" t="s">
        <v>30</v>
      </c>
      <c r="S3" s="12" t="s">
        <v>37</v>
      </c>
      <c r="T3" s="12" t="s">
        <v>997</v>
      </c>
      <c r="U3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273387 Draft</v>
      </c>
      <c r="V3" s="12" t="s">
        <v>787</v>
      </c>
      <c r="W3" s="12" t="s">
        <v>998</v>
      </c>
      <c r="X3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>276093 Closed</v>
      </c>
      <c r="Y3" s="12" t="s">
        <v>790</v>
      </c>
      <c r="Z3" s="12" t="s">
        <v>999</v>
      </c>
      <c r="AA3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>298657 Verified</v>
      </c>
      <c r="AB3" s="12" t="s">
        <v>784</v>
      </c>
      <c r="AC3" s="12" t="s">
        <v>1000</v>
      </c>
      <c r="AD3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>276088 Draft</v>
      </c>
      <c r="AE3" s="12" t="s">
        <v>788</v>
      </c>
      <c r="AF3" s="12" t="s">
        <v>762</v>
      </c>
      <c r="AG3" s="16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3" s="12" t="s">
        <v>762</v>
      </c>
      <c r="AI3" s="12" t="s">
        <v>762</v>
      </c>
      <c r="AJ3" s="16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3" s="12" t="s">
        <v>762</v>
      </c>
      <c r="AL3" s="12" t="s">
        <v>38</v>
      </c>
      <c r="AM3" s="12" t="s">
        <v>38</v>
      </c>
      <c r="AN3" s="12" t="s">
        <v>32</v>
      </c>
      <c r="AO3" s="12" t="s">
        <v>66</v>
      </c>
      <c r="AP3" s="12"/>
      <c r="AQ3" s="12"/>
      <c r="AR3" s="14"/>
      <c r="AS3" s="14"/>
      <c r="AT3" s="13">
        <v>43475</v>
      </c>
      <c r="AU3" s="14"/>
    </row>
    <row r="4" spans="1:47" ht="18.75" x14ac:dyDescent="0.3">
      <c r="A4" s="12" t="s">
        <v>92</v>
      </c>
      <c r="B4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TK841851</v>
      </c>
      <c r="C4" s="12" t="s">
        <v>93</v>
      </c>
      <c r="D4" s="12" t="s">
        <v>94</v>
      </c>
      <c r="E4" s="12" t="s">
        <v>69</v>
      </c>
      <c r="F4" s="13">
        <v>43476</v>
      </c>
      <c r="G4" s="13">
        <v>43476</v>
      </c>
      <c r="H4" s="12" t="s">
        <v>36</v>
      </c>
      <c r="I4" s="13">
        <v>43524</v>
      </c>
      <c r="J4" s="12" t="s">
        <v>66</v>
      </c>
      <c r="K4" s="12" t="s">
        <v>34</v>
      </c>
      <c r="L4" s="14">
        <v>3</v>
      </c>
      <c r="M4" s="14">
        <v>12</v>
      </c>
      <c r="N4" s="14">
        <v>3</v>
      </c>
      <c r="O4" s="14"/>
      <c r="P4" s="14"/>
      <c r="Q4" s="12" t="s">
        <v>30</v>
      </c>
      <c r="R4" s="12" t="s">
        <v>30</v>
      </c>
      <c r="S4" s="12" t="s">
        <v>37</v>
      </c>
      <c r="T4" s="12" t="s">
        <v>1001</v>
      </c>
      <c r="U4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276098 Suspended</v>
      </c>
      <c r="V4" s="12" t="s">
        <v>783</v>
      </c>
      <c r="W4" s="12" t="s">
        <v>762</v>
      </c>
      <c r="X4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4" s="12" t="s">
        <v>762</v>
      </c>
      <c r="Z4" s="12" t="s">
        <v>762</v>
      </c>
      <c r="AA4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4" s="12" t="s">
        <v>762</v>
      </c>
      <c r="AC4" s="12" t="s">
        <v>762</v>
      </c>
      <c r="AD4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4" s="12" t="s">
        <v>762</v>
      </c>
      <c r="AF4" s="12" t="s">
        <v>762</v>
      </c>
      <c r="AG4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4" s="12" t="s">
        <v>762</v>
      </c>
      <c r="AI4" s="12" t="s">
        <v>762</v>
      </c>
      <c r="AJ4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4" s="12" t="s">
        <v>762</v>
      </c>
      <c r="AL4" s="12"/>
      <c r="AM4" s="12"/>
      <c r="AN4" s="12"/>
      <c r="AO4" s="12" t="s">
        <v>66</v>
      </c>
      <c r="AP4" s="12" t="s">
        <v>66</v>
      </c>
      <c r="AQ4" s="12"/>
      <c r="AR4" s="14"/>
      <c r="AS4" s="14"/>
      <c r="AT4" s="13">
        <v>43475</v>
      </c>
      <c r="AU4" s="14"/>
    </row>
    <row r="5" spans="1:47" ht="18.75" x14ac:dyDescent="0.3">
      <c r="A5" s="12" t="s">
        <v>95</v>
      </c>
      <c r="B5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TK829222</v>
      </c>
      <c r="C5" s="12" t="s">
        <v>96</v>
      </c>
      <c r="D5" s="12" t="s">
        <v>97</v>
      </c>
      <c r="E5" s="12" t="s">
        <v>87</v>
      </c>
      <c r="F5" s="13">
        <v>43477</v>
      </c>
      <c r="G5" s="13">
        <v>43478</v>
      </c>
      <c r="H5" s="12" t="s">
        <v>36</v>
      </c>
      <c r="I5" s="13">
        <v>44001</v>
      </c>
      <c r="J5" s="12" t="s">
        <v>66</v>
      </c>
      <c r="K5" s="12" t="s">
        <v>29</v>
      </c>
      <c r="L5" s="14">
        <v>1</v>
      </c>
      <c r="M5" s="14">
        <v>20</v>
      </c>
      <c r="N5" s="14">
        <v>3</v>
      </c>
      <c r="O5" s="14"/>
      <c r="P5" s="14"/>
      <c r="Q5" s="12" t="s">
        <v>30</v>
      </c>
      <c r="R5" s="12" t="s">
        <v>30</v>
      </c>
      <c r="S5" s="12" t="s">
        <v>37</v>
      </c>
      <c r="T5" s="12" t="s">
        <v>1002</v>
      </c>
      <c r="U5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260732 Verified</v>
      </c>
      <c r="V5" s="12" t="s">
        <v>785</v>
      </c>
      <c r="W5" s="12" t="s">
        <v>762</v>
      </c>
      <c r="X5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5" s="12" t="s">
        <v>762</v>
      </c>
      <c r="Z5" s="12" t="s">
        <v>762</v>
      </c>
      <c r="AA5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5" s="12" t="s">
        <v>762</v>
      </c>
      <c r="AC5" s="12" t="s">
        <v>762</v>
      </c>
      <c r="AD5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5" s="12" t="s">
        <v>762</v>
      </c>
      <c r="AF5" s="12" t="s">
        <v>762</v>
      </c>
      <c r="AG5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5" s="12" t="s">
        <v>762</v>
      </c>
      <c r="AI5" s="12" t="s">
        <v>762</v>
      </c>
      <c r="AJ5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5" s="12" t="s">
        <v>762</v>
      </c>
      <c r="AL5" s="12"/>
      <c r="AM5" s="12"/>
      <c r="AN5" s="12"/>
      <c r="AO5" s="12" t="s">
        <v>66</v>
      </c>
      <c r="AP5" s="12" t="s">
        <v>66</v>
      </c>
      <c r="AQ5" s="12"/>
      <c r="AR5" s="14"/>
      <c r="AS5" s="14"/>
      <c r="AT5" s="13">
        <v>43475</v>
      </c>
      <c r="AU5" s="14"/>
    </row>
    <row r="6" spans="1:47" ht="18.75" x14ac:dyDescent="0.3">
      <c r="A6" s="12" t="s">
        <v>84</v>
      </c>
      <c r="B6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TK832583</v>
      </c>
      <c r="C6" s="12" t="s">
        <v>85</v>
      </c>
      <c r="D6" s="12" t="s">
        <v>86</v>
      </c>
      <c r="E6" s="12" t="s">
        <v>74</v>
      </c>
      <c r="F6" s="13">
        <v>43477</v>
      </c>
      <c r="G6" s="13">
        <v>43477</v>
      </c>
      <c r="H6" s="12" t="s">
        <v>36</v>
      </c>
      <c r="I6" s="13">
        <v>43556</v>
      </c>
      <c r="J6" s="12" t="s">
        <v>66</v>
      </c>
      <c r="K6" s="12" t="s">
        <v>34</v>
      </c>
      <c r="L6" s="14">
        <v>3</v>
      </c>
      <c r="M6" s="14">
        <v>34.5</v>
      </c>
      <c r="N6" s="14">
        <v>3</v>
      </c>
      <c r="O6" s="14"/>
      <c r="P6" s="14"/>
      <c r="Q6" s="12" t="s">
        <v>30</v>
      </c>
      <c r="R6" s="12" t="s">
        <v>30</v>
      </c>
      <c r="S6" s="12" t="s">
        <v>37</v>
      </c>
      <c r="T6" s="12" t="s">
        <v>1003</v>
      </c>
      <c r="U6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266222 RTV</v>
      </c>
      <c r="V6" s="12" t="s">
        <v>786</v>
      </c>
      <c r="W6" s="12" t="s">
        <v>762</v>
      </c>
      <c r="X6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6" s="12" t="s">
        <v>762</v>
      </c>
      <c r="Z6" s="12" t="s">
        <v>762</v>
      </c>
      <c r="AA6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6" s="12" t="s">
        <v>762</v>
      </c>
      <c r="AC6" s="12" t="s">
        <v>762</v>
      </c>
      <c r="AD6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6" s="12" t="s">
        <v>762</v>
      </c>
      <c r="AF6" s="12" t="s">
        <v>762</v>
      </c>
      <c r="AG6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6" s="12" t="s">
        <v>762</v>
      </c>
      <c r="AI6" s="12" t="s">
        <v>762</v>
      </c>
      <c r="AJ6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6" s="12" t="s">
        <v>762</v>
      </c>
      <c r="AL6" s="12"/>
      <c r="AM6" s="12"/>
      <c r="AN6" s="12"/>
      <c r="AO6" s="12" t="s">
        <v>66</v>
      </c>
      <c r="AP6" s="12"/>
      <c r="AQ6" s="12"/>
      <c r="AR6" s="14"/>
      <c r="AS6" s="14"/>
      <c r="AT6" s="13">
        <v>43475</v>
      </c>
      <c r="AU6" s="14" t="s">
        <v>831</v>
      </c>
    </row>
    <row r="7" spans="1:47" ht="18.75" x14ac:dyDescent="0.3">
      <c r="A7" s="12" t="s">
        <v>105</v>
      </c>
      <c r="B7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TK855607</v>
      </c>
      <c r="C7" s="12" t="s">
        <v>106</v>
      </c>
      <c r="D7" s="12" t="s">
        <v>107</v>
      </c>
      <c r="E7" s="12" t="s">
        <v>69</v>
      </c>
      <c r="F7" s="13">
        <v>43478</v>
      </c>
      <c r="G7" s="13">
        <v>43478</v>
      </c>
      <c r="H7" s="12" t="s">
        <v>36</v>
      </c>
      <c r="I7" s="13">
        <v>43524</v>
      </c>
      <c r="J7" s="12" t="s">
        <v>66</v>
      </c>
      <c r="K7" s="12" t="s">
        <v>34</v>
      </c>
      <c r="L7" s="14">
        <v>3</v>
      </c>
      <c r="M7" s="14">
        <v>12</v>
      </c>
      <c r="N7" s="14">
        <v>3</v>
      </c>
      <c r="O7" s="14"/>
      <c r="P7" s="14"/>
      <c r="Q7" s="12" t="s">
        <v>30</v>
      </c>
      <c r="R7" s="12" t="s">
        <v>30</v>
      </c>
      <c r="S7" s="12" t="s">
        <v>37</v>
      </c>
      <c r="T7" s="12" t="s">
        <v>998</v>
      </c>
      <c r="U7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276093 Closed</v>
      </c>
      <c r="V7" s="12" t="s">
        <v>790</v>
      </c>
      <c r="W7" s="12" t="s">
        <v>1004</v>
      </c>
      <c r="X7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>299351 TRA</v>
      </c>
      <c r="Y7" s="12" t="s">
        <v>781</v>
      </c>
      <c r="Z7" s="12" t="s">
        <v>762</v>
      </c>
      <c r="AA7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7" s="12" t="s">
        <v>762</v>
      </c>
      <c r="AC7" s="12" t="s">
        <v>762</v>
      </c>
      <c r="AD7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7" s="12" t="s">
        <v>762</v>
      </c>
      <c r="AF7" s="12" t="s">
        <v>762</v>
      </c>
      <c r="AG7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7" s="12" t="s">
        <v>762</v>
      </c>
      <c r="AI7" s="12" t="s">
        <v>762</v>
      </c>
      <c r="AJ7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7" s="12" t="s">
        <v>762</v>
      </c>
      <c r="AL7" s="12" t="s">
        <v>70</v>
      </c>
      <c r="AM7" s="12" t="s">
        <v>794</v>
      </c>
      <c r="AN7" s="12" t="s">
        <v>41</v>
      </c>
      <c r="AO7" s="12" t="s">
        <v>66</v>
      </c>
      <c r="AP7" s="12" t="s">
        <v>66</v>
      </c>
      <c r="AQ7" s="12"/>
      <c r="AR7" s="14"/>
      <c r="AS7" s="14"/>
      <c r="AT7" s="13">
        <v>43475</v>
      </c>
      <c r="AU7" s="14"/>
    </row>
    <row r="8" spans="1:47" ht="18.75" x14ac:dyDescent="0.3">
      <c r="A8" s="12" t="s">
        <v>111</v>
      </c>
      <c r="B8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TK829246</v>
      </c>
      <c r="C8" s="12" t="s">
        <v>112</v>
      </c>
      <c r="D8" s="12" t="s">
        <v>113</v>
      </c>
      <c r="E8" s="12" t="s">
        <v>87</v>
      </c>
      <c r="F8" s="13">
        <v>43478</v>
      </c>
      <c r="G8" s="13">
        <v>43478</v>
      </c>
      <c r="H8" s="12" t="s">
        <v>36</v>
      </c>
      <c r="I8" s="13">
        <v>43635</v>
      </c>
      <c r="J8" s="12" t="s">
        <v>66</v>
      </c>
      <c r="K8" s="12" t="s">
        <v>34</v>
      </c>
      <c r="L8" s="14">
        <v>3</v>
      </c>
      <c r="M8" s="14">
        <v>12</v>
      </c>
      <c r="N8" s="14">
        <v>3</v>
      </c>
      <c r="O8" s="14"/>
      <c r="P8" s="14"/>
      <c r="Q8" s="12" t="s">
        <v>30</v>
      </c>
      <c r="R8" s="12" t="s">
        <v>30</v>
      </c>
      <c r="S8" s="12" t="s">
        <v>37</v>
      </c>
      <c r="T8" s="12" t="s">
        <v>1005</v>
      </c>
      <c r="U8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294278 Suspended</v>
      </c>
      <c r="V8" s="12" t="s">
        <v>783</v>
      </c>
      <c r="W8" s="12" t="s">
        <v>762</v>
      </c>
      <c r="X8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8" s="12" t="s">
        <v>762</v>
      </c>
      <c r="Z8" s="12" t="s">
        <v>762</v>
      </c>
      <c r="AA8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8" s="12" t="s">
        <v>762</v>
      </c>
      <c r="AC8" s="12" t="s">
        <v>762</v>
      </c>
      <c r="AD8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8" s="12" t="s">
        <v>762</v>
      </c>
      <c r="AF8" s="12" t="s">
        <v>762</v>
      </c>
      <c r="AG8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8" s="12" t="s">
        <v>762</v>
      </c>
      <c r="AI8" s="12" t="s">
        <v>762</v>
      </c>
      <c r="AJ8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8" s="12" t="s">
        <v>762</v>
      </c>
      <c r="AL8" s="12"/>
      <c r="AM8" s="12"/>
      <c r="AN8" s="12"/>
      <c r="AO8" s="12" t="s">
        <v>66</v>
      </c>
      <c r="AP8" s="12" t="s">
        <v>66</v>
      </c>
      <c r="AQ8" s="12"/>
      <c r="AR8" s="14"/>
      <c r="AS8" s="14"/>
      <c r="AT8" s="13">
        <v>43475</v>
      </c>
      <c r="AU8" s="14"/>
    </row>
    <row r="9" spans="1:47" ht="18.75" x14ac:dyDescent="0.3">
      <c r="A9" s="12" t="s">
        <v>117</v>
      </c>
      <c r="B9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TK841853</v>
      </c>
      <c r="C9" s="12" t="s">
        <v>118</v>
      </c>
      <c r="D9" s="12" t="s">
        <v>119</v>
      </c>
      <c r="E9" s="12" t="s">
        <v>69</v>
      </c>
      <c r="F9" s="13">
        <v>43479</v>
      </c>
      <c r="G9" s="13">
        <v>43479</v>
      </c>
      <c r="H9" s="12" t="s">
        <v>36</v>
      </c>
      <c r="I9" s="13">
        <v>43524</v>
      </c>
      <c r="J9" s="12" t="s">
        <v>66</v>
      </c>
      <c r="K9" s="12" t="s">
        <v>34</v>
      </c>
      <c r="L9" s="14">
        <v>3</v>
      </c>
      <c r="M9" s="14">
        <v>24</v>
      </c>
      <c r="N9" s="14">
        <v>3</v>
      </c>
      <c r="O9" s="14"/>
      <c r="P9" s="14"/>
      <c r="Q9" s="12" t="s">
        <v>30</v>
      </c>
      <c r="R9" s="12" t="s">
        <v>30</v>
      </c>
      <c r="S9" s="12" t="s">
        <v>37</v>
      </c>
      <c r="T9" s="12" t="s">
        <v>1001</v>
      </c>
      <c r="U9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276098 Suspended</v>
      </c>
      <c r="V9" s="12" t="s">
        <v>783</v>
      </c>
      <c r="W9" s="12" t="s">
        <v>762</v>
      </c>
      <c r="X9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9" s="12" t="s">
        <v>762</v>
      </c>
      <c r="Z9" s="12" t="s">
        <v>762</v>
      </c>
      <c r="AA9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9" s="12" t="s">
        <v>762</v>
      </c>
      <c r="AC9" s="12" t="s">
        <v>762</v>
      </c>
      <c r="AD9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9" s="12" t="s">
        <v>762</v>
      </c>
      <c r="AF9" s="12" t="s">
        <v>762</v>
      </c>
      <c r="AG9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9" s="12" t="s">
        <v>762</v>
      </c>
      <c r="AI9" s="12" t="s">
        <v>762</v>
      </c>
      <c r="AJ9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9" s="12" t="s">
        <v>762</v>
      </c>
      <c r="AL9" s="12"/>
      <c r="AM9" s="12"/>
      <c r="AN9" s="12"/>
      <c r="AO9" s="12" t="s">
        <v>66</v>
      </c>
      <c r="AP9" s="12" t="s">
        <v>66</v>
      </c>
      <c r="AQ9" s="12"/>
      <c r="AR9" s="14"/>
      <c r="AS9" s="14"/>
      <c r="AT9" s="13">
        <v>43475</v>
      </c>
      <c r="AU9" s="14"/>
    </row>
    <row r="10" spans="1:47" ht="18.75" x14ac:dyDescent="0.3">
      <c r="A10" s="12" t="s">
        <v>120</v>
      </c>
      <c r="B10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TK829227</v>
      </c>
      <c r="C10" s="12" t="s">
        <v>121</v>
      </c>
      <c r="D10" s="12" t="s">
        <v>122</v>
      </c>
      <c r="E10" s="12" t="s">
        <v>87</v>
      </c>
      <c r="F10" s="13">
        <v>43479</v>
      </c>
      <c r="G10" s="13">
        <v>43479</v>
      </c>
      <c r="H10" s="12" t="s">
        <v>36</v>
      </c>
      <c r="I10" s="13">
        <v>43635</v>
      </c>
      <c r="J10" s="12" t="s">
        <v>66</v>
      </c>
      <c r="K10" s="12" t="s">
        <v>34</v>
      </c>
      <c r="L10" s="14">
        <v>3</v>
      </c>
      <c r="M10" s="14">
        <v>24</v>
      </c>
      <c r="N10" s="14">
        <v>3</v>
      </c>
      <c r="O10" s="14"/>
      <c r="P10" s="14"/>
      <c r="Q10" s="12" t="s">
        <v>30</v>
      </c>
      <c r="R10" s="12" t="s">
        <v>30</v>
      </c>
      <c r="S10" s="12" t="s">
        <v>37</v>
      </c>
      <c r="T10" s="12" t="s">
        <v>1005</v>
      </c>
      <c r="U10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294278 Suspended</v>
      </c>
      <c r="V10" s="12" t="s">
        <v>783</v>
      </c>
      <c r="W10" s="12" t="s">
        <v>762</v>
      </c>
      <c r="X10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0" s="12" t="s">
        <v>762</v>
      </c>
      <c r="Z10" s="12" t="s">
        <v>762</v>
      </c>
      <c r="AA10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0" s="12" t="s">
        <v>762</v>
      </c>
      <c r="AC10" s="12" t="s">
        <v>762</v>
      </c>
      <c r="AD10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0" s="12" t="s">
        <v>762</v>
      </c>
      <c r="AF10" s="12" t="s">
        <v>762</v>
      </c>
      <c r="AG10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0" s="12" t="s">
        <v>762</v>
      </c>
      <c r="AI10" s="12" t="s">
        <v>762</v>
      </c>
      <c r="AJ10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0" s="12" t="s">
        <v>762</v>
      </c>
      <c r="AL10" s="12"/>
      <c r="AM10" s="12"/>
      <c r="AN10" s="12"/>
      <c r="AO10" s="12" t="s">
        <v>66</v>
      </c>
      <c r="AP10" s="12" t="s">
        <v>66</v>
      </c>
      <c r="AQ10" s="12"/>
      <c r="AR10" s="14"/>
      <c r="AS10" s="14"/>
      <c r="AT10" s="13">
        <v>43475</v>
      </c>
      <c r="AU10" s="14"/>
    </row>
    <row r="11" spans="1:47" ht="18.75" x14ac:dyDescent="0.3">
      <c r="A11" s="12" t="s">
        <v>126</v>
      </c>
      <c r="B11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TK827531</v>
      </c>
      <c r="C11" s="12" t="s">
        <v>127</v>
      </c>
      <c r="D11" s="12" t="s">
        <v>128</v>
      </c>
      <c r="E11" s="12" t="s">
        <v>129</v>
      </c>
      <c r="F11" s="13">
        <v>43481</v>
      </c>
      <c r="G11" s="13">
        <v>43481</v>
      </c>
      <c r="H11" s="12" t="s">
        <v>36</v>
      </c>
      <c r="I11" s="13">
        <v>43547</v>
      </c>
      <c r="J11" s="12" t="s">
        <v>66</v>
      </c>
      <c r="K11" s="12" t="s">
        <v>34</v>
      </c>
      <c r="L11" s="14">
        <v>3</v>
      </c>
      <c r="M11" s="14">
        <v>34.5</v>
      </c>
      <c r="N11" s="14">
        <v>3</v>
      </c>
      <c r="O11" s="14"/>
      <c r="P11" s="14"/>
      <c r="Q11" s="12" t="s">
        <v>30</v>
      </c>
      <c r="R11" s="12" t="s">
        <v>30</v>
      </c>
      <c r="S11" s="12" t="s">
        <v>37</v>
      </c>
      <c r="T11" s="12" t="s">
        <v>1006</v>
      </c>
      <c r="U11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283361 Suspended</v>
      </c>
      <c r="V11" s="12" t="s">
        <v>783</v>
      </c>
      <c r="W11" s="12" t="s">
        <v>762</v>
      </c>
      <c r="X11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1" s="12" t="s">
        <v>762</v>
      </c>
      <c r="Z11" s="12" t="s">
        <v>762</v>
      </c>
      <c r="AA11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1" s="12" t="s">
        <v>762</v>
      </c>
      <c r="AC11" s="12" t="s">
        <v>762</v>
      </c>
      <c r="AD11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1" s="12" t="s">
        <v>762</v>
      </c>
      <c r="AF11" s="12" t="s">
        <v>762</v>
      </c>
      <c r="AG11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1" s="12" t="s">
        <v>762</v>
      </c>
      <c r="AI11" s="12" t="s">
        <v>762</v>
      </c>
      <c r="AJ11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1" s="12" t="s">
        <v>762</v>
      </c>
      <c r="AL11" s="12"/>
      <c r="AM11" s="12"/>
      <c r="AN11" s="12"/>
      <c r="AO11" s="12" t="s">
        <v>66</v>
      </c>
      <c r="AP11" s="12"/>
      <c r="AQ11" s="12"/>
      <c r="AR11" s="14"/>
      <c r="AS11" s="14"/>
      <c r="AT11" s="13">
        <v>43475</v>
      </c>
      <c r="AU11" s="14"/>
    </row>
    <row r="12" spans="1:47" ht="18.75" x14ac:dyDescent="0.3">
      <c r="A12" s="12" t="s">
        <v>743</v>
      </c>
      <c r="B12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TK787122</v>
      </c>
      <c r="C12" s="12" t="s">
        <v>744</v>
      </c>
      <c r="D12" s="12" t="s">
        <v>745</v>
      </c>
      <c r="E12" s="12" t="s">
        <v>220</v>
      </c>
      <c r="F12" s="13">
        <v>43490</v>
      </c>
      <c r="G12" s="13">
        <v>43490</v>
      </c>
      <c r="H12" s="12"/>
      <c r="I12" s="13">
        <v>43524</v>
      </c>
      <c r="J12" s="12" t="s">
        <v>66</v>
      </c>
      <c r="K12" s="12" t="s">
        <v>34</v>
      </c>
      <c r="L12" s="14">
        <v>3</v>
      </c>
      <c r="M12" s="14">
        <v>24</v>
      </c>
      <c r="N12" s="14">
        <v>3</v>
      </c>
      <c r="O12" s="14"/>
      <c r="P12" s="14"/>
      <c r="Q12" s="12" t="s">
        <v>30</v>
      </c>
      <c r="R12" s="12" t="s">
        <v>30</v>
      </c>
      <c r="S12" s="12" t="s">
        <v>746</v>
      </c>
      <c r="T12" s="12" t="s">
        <v>1007</v>
      </c>
      <c r="U12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261307 Verified</v>
      </c>
      <c r="V12" s="12" t="s">
        <v>784</v>
      </c>
      <c r="W12" s="12" t="s">
        <v>762</v>
      </c>
      <c r="X12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2" s="12" t="s">
        <v>762</v>
      </c>
      <c r="Z12" s="12" t="s">
        <v>762</v>
      </c>
      <c r="AA12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2" s="12" t="s">
        <v>762</v>
      </c>
      <c r="AC12" s="12" t="s">
        <v>762</v>
      </c>
      <c r="AD12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2" s="12" t="s">
        <v>762</v>
      </c>
      <c r="AF12" s="12" t="s">
        <v>762</v>
      </c>
      <c r="AG12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2" s="12" t="s">
        <v>762</v>
      </c>
      <c r="AI12" s="12" t="s">
        <v>762</v>
      </c>
      <c r="AJ12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2" s="12" t="s">
        <v>762</v>
      </c>
      <c r="AL12" s="12"/>
      <c r="AM12" s="12"/>
      <c r="AN12" s="12"/>
      <c r="AO12" s="12" t="s">
        <v>66</v>
      </c>
      <c r="AP12" s="12"/>
      <c r="AQ12" s="12"/>
      <c r="AR12" s="14"/>
      <c r="AS12" s="14"/>
      <c r="AT12" s="13">
        <v>43475</v>
      </c>
      <c r="AU12" s="14"/>
    </row>
    <row r="13" spans="1:47" ht="18.75" x14ac:dyDescent="0.3">
      <c r="A13" s="12" t="s">
        <v>747</v>
      </c>
      <c r="B13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TK787124</v>
      </c>
      <c r="C13" s="12" t="s">
        <v>748</v>
      </c>
      <c r="D13" s="12" t="s">
        <v>749</v>
      </c>
      <c r="E13" s="12" t="s">
        <v>220</v>
      </c>
      <c r="F13" s="13">
        <v>43525</v>
      </c>
      <c r="G13" s="13">
        <v>43525</v>
      </c>
      <c r="H13" s="12"/>
      <c r="I13" s="13">
        <v>43524</v>
      </c>
      <c r="J13" s="12" t="s">
        <v>66</v>
      </c>
      <c r="K13" s="12" t="s">
        <v>34</v>
      </c>
      <c r="L13" s="14">
        <v>3</v>
      </c>
      <c r="M13" s="14">
        <v>18</v>
      </c>
      <c r="N13" s="14">
        <v>3</v>
      </c>
      <c r="O13" s="14"/>
      <c r="P13" s="14"/>
      <c r="Q13" s="12" t="s">
        <v>30</v>
      </c>
      <c r="R13" s="12" t="s">
        <v>30</v>
      </c>
      <c r="S13" s="12" t="s">
        <v>746</v>
      </c>
      <c r="T13" s="12" t="s">
        <v>1007</v>
      </c>
      <c r="U13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261307 Verified</v>
      </c>
      <c r="V13" s="12" t="s">
        <v>784</v>
      </c>
      <c r="W13" s="12" t="s">
        <v>762</v>
      </c>
      <c r="X13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3" s="12" t="s">
        <v>762</v>
      </c>
      <c r="Z13" s="12" t="s">
        <v>762</v>
      </c>
      <c r="AA13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3" s="12" t="s">
        <v>762</v>
      </c>
      <c r="AC13" s="12" t="s">
        <v>762</v>
      </c>
      <c r="AD13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3" s="12" t="s">
        <v>762</v>
      </c>
      <c r="AF13" s="12" t="s">
        <v>762</v>
      </c>
      <c r="AG13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3" s="12" t="s">
        <v>762</v>
      </c>
      <c r="AI13" s="12" t="s">
        <v>762</v>
      </c>
      <c r="AJ13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3" s="12" t="s">
        <v>762</v>
      </c>
      <c r="AL13" s="12"/>
      <c r="AM13" s="12"/>
      <c r="AN13" s="12"/>
      <c r="AO13" s="12" t="s">
        <v>66</v>
      </c>
      <c r="AP13" s="12"/>
      <c r="AQ13" s="12"/>
      <c r="AR13" s="14"/>
      <c r="AS13" s="14"/>
      <c r="AT13" s="13">
        <v>43475</v>
      </c>
      <c r="AU13" s="14"/>
    </row>
    <row r="14" spans="1:47" ht="18.75" x14ac:dyDescent="0.3">
      <c r="A14" s="12"/>
      <c r="B14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1/17/2019</v>
      </c>
      <c r="C14" s="12" t="s">
        <v>48</v>
      </c>
      <c r="D14" s="12"/>
      <c r="E14" s="12"/>
      <c r="F14" s="13"/>
      <c r="G14" s="13"/>
      <c r="H14" s="12"/>
      <c r="I14" s="13"/>
      <c r="J14" s="12"/>
      <c r="K14" s="12"/>
      <c r="L14" s="14"/>
      <c r="M14" s="14"/>
      <c r="N14" s="14"/>
      <c r="O14" s="14"/>
      <c r="P14" s="14"/>
      <c r="Q14" s="12"/>
      <c r="R14" s="12"/>
      <c r="S14" s="12"/>
      <c r="T14" s="12" t="s">
        <v>762</v>
      </c>
      <c r="U14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4" s="12" t="s">
        <v>762</v>
      </c>
      <c r="W14" s="12" t="s">
        <v>762</v>
      </c>
      <c r="X14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4" s="12" t="s">
        <v>762</v>
      </c>
      <c r="Z14" s="12" t="s">
        <v>762</v>
      </c>
      <c r="AA14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4" s="12" t="s">
        <v>762</v>
      </c>
      <c r="AC14" s="12" t="s">
        <v>762</v>
      </c>
      <c r="AD14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4" s="12" t="s">
        <v>762</v>
      </c>
      <c r="AF14" s="12" t="s">
        <v>762</v>
      </c>
      <c r="AG14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4" s="12" t="s">
        <v>762</v>
      </c>
      <c r="AI14" s="12" t="s">
        <v>762</v>
      </c>
      <c r="AJ14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4" s="12" t="s">
        <v>762</v>
      </c>
      <c r="AL14" s="12"/>
      <c r="AM14" s="12"/>
      <c r="AN14" s="12"/>
      <c r="AO14" s="12"/>
      <c r="AP14" s="12"/>
      <c r="AQ14" s="12"/>
      <c r="AR14" s="14"/>
      <c r="AS14" s="14"/>
      <c r="AT14" s="13">
        <v>43482</v>
      </c>
      <c r="AU14" s="14"/>
    </row>
    <row r="15" spans="1:47" ht="18.75" x14ac:dyDescent="0.3">
      <c r="A15" s="12" t="s">
        <v>133</v>
      </c>
      <c r="B15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TK827503</v>
      </c>
      <c r="C15" s="12" t="s">
        <v>134</v>
      </c>
      <c r="D15" s="12" t="s">
        <v>135</v>
      </c>
      <c r="E15" s="12" t="s">
        <v>129</v>
      </c>
      <c r="F15" s="13">
        <v>43482</v>
      </c>
      <c r="G15" s="13">
        <v>43482</v>
      </c>
      <c r="H15" s="12" t="s">
        <v>36</v>
      </c>
      <c r="I15" s="13">
        <v>43831</v>
      </c>
      <c r="J15" s="12" t="s">
        <v>66</v>
      </c>
      <c r="K15" s="12" t="s">
        <v>29</v>
      </c>
      <c r="L15" s="14">
        <v>3</v>
      </c>
      <c r="M15" s="14">
        <v>34.5</v>
      </c>
      <c r="N15" s="14">
        <v>3</v>
      </c>
      <c r="O15" s="14"/>
      <c r="P15" s="14"/>
      <c r="Q15" s="12" t="s">
        <v>42</v>
      </c>
      <c r="R15" s="12" t="s">
        <v>42</v>
      </c>
      <c r="S15" s="12" t="s">
        <v>37</v>
      </c>
      <c r="T15" s="12" t="s">
        <v>1008</v>
      </c>
      <c r="U15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278091 Verified</v>
      </c>
      <c r="V15" s="12" t="s">
        <v>785</v>
      </c>
      <c r="W15" s="12" t="s">
        <v>762</v>
      </c>
      <c r="X15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5" s="12" t="s">
        <v>762</v>
      </c>
      <c r="Z15" s="12" t="s">
        <v>762</v>
      </c>
      <c r="AA15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5" s="12" t="s">
        <v>762</v>
      </c>
      <c r="AC15" s="12" t="s">
        <v>762</v>
      </c>
      <c r="AD15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5" s="12" t="s">
        <v>762</v>
      </c>
      <c r="AF15" s="12" t="s">
        <v>762</v>
      </c>
      <c r="AG15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5" s="12" t="s">
        <v>762</v>
      </c>
      <c r="AI15" s="12" t="s">
        <v>762</v>
      </c>
      <c r="AJ15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5" s="12" t="s">
        <v>762</v>
      </c>
      <c r="AL15" s="12"/>
      <c r="AM15" s="12"/>
      <c r="AN15" s="12"/>
      <c r="AO15" s="12" t="s">
        <v>66</v>
      </c>
      <c r="AP15" s="12"/>
      <c r="AQ15" s="12"/>
      <c r="AR15" s="14"/>
      <c r="AS15" s="14"/>
      <c r="AT15" s="13">
        <v>43482</v>
      </c>
      <c r="AU15" s="14"/>
    </row>
    <row r="16" spans="1:47" ht="18.75" x14ac:dyDescent="0.3">
      <c r="A16" s="12" t="s">
        <v>136</v>
      </c>
      <c r="B16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TK827557</v>
      </c>
      <c r="C16" s="12" t="s">
        <v>137</v>
      </c>
      <c r="D16" s="12" t="s">
        <v>138</v>
      </c>
      <c r="E16" s="12" t="s">
        <v>129</v>
      </c>
      <c r="F16" s="13">
        <v>43483</v>
      </c>
      <c r="G16" s="13">
        <v>43483</v>
      </c>
      <c r="H16" s="12" t="s">
        <v>36</v>
      </c>
      <c r="I16" s="13">
        <v>43547</v>
      </c>
      <c r="J16" s="12" t="s">
        <v>66</v>
      </c>
      <c r="K16" s="12" t="s">
        <v>34</v>
      </c>
      <c r="L16" s="14">
        <v>3</v>
      </c>
      <c r="M16" s="14">
        <v>12</v>
      </c>
      <c r="N16" s="14">
        <v>3</v>
      </c>
      <c r="O16" s="14"/>
      <c r="P16" s="14"/>
      <c r="Q16" s="12" t="s">
        <v>30</v>
      </c>
      <c r="R16" s="12" t="s">
        <v>30</v>
      </c>
      <c r="S16" s="12" t="s">
        <v>37</v>
      </c>
      <c r="T16" s="12" t="s">
        <v>1006</v>
      </c>
      <c r="U16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283361 Suspended</v>
      </c>
      <c r="V16" s="12" t="s">
        <v>783</v>
      </c>
      <c r="W16" s="12" t="s">
        <v>762</v>
      </c>
      <c r="X16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6" s="12" t="s">
        <v>762</v>
      </c>
      <c r="Z16" s="12" t="s">
        <v>762</v>
      </c>
      <c r="AA16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6" s="12" t="s">
        <v>762</v>
      </c>
      <c r="AC16" s="12" t="s">
        <v>762</v>
      </c>
      <c r="AD16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6" s="12" t="s">
        <v>762</v>
      </c>
      <c r="AF16" s="12" t="s">
        <v>762</v>
      </c>
      <c r="AG16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6" s="12" t="s">
        <v>762</v>
      </c>
      <c r="AI16" s="12" t="s">
        <v>762</v>
      </c>
      <c r="AJ16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6" s="12" t="s">
        <v>762</v>
      </c>
      <c r="AL16" s="12"/>
      <c r="AM16" s="12"/>
      <c r="AN16" s="12"/>
      <c r="AO16" s="12" t="s">
        <v>66</v>
      </c>
      <c r="AP16" s="12"/>
      <c r="AQ16" s="12"/>
      <c r="AR16" s="14"/>
      <c r="AS16" s="14"/>
      <c r="AT16" s="13">
        <v>43482</v>
      </c>
      <c r="AU16" s="14"/>
    </row>
    <row r="17" spans="1:47" ht="18.75" x14ac:dyDescent="0.3">
      <c r="A17" s="12" t="s">
        <v>139</v>
      </c>
      <c r="B17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TK823912</v>
      </c>
      <c r="C17" s="12" t="s">
        <v>140</v>
      </c>
      <c r="D17" s="12" t="s">
        <v>141</v>
      </c>
      <c r="E17" s="12" t="s">
        <v>63</v>
      </c>
      <c r="F17" s="13">
        <v>43483</v>
      </c>
      <c r="G17" s="13">
        <v>43483</v>
      </c>
      <c r="H17" s="12" t="s">
        <v>57</v>
      </c>
      <c r="I17" s="13">
        <v>43585</v>
      </c>
      <c r="J17" s="12" t="s">
        <v>66</v>
      </c>
      <c r="K17" s="12" t="s">
        <v>34</v>
      </c>
      <c r="L17" s="14">
        <v>3</v>
      </c>
      <c r="M17" s="14">
        <v>18</v>
      </c>
      <c r="N17" s="14">
        <v>3</v>
      </c>
      <c r="O17" s="14"/>
      <c r="P17" s="14"/>
      <c r="Q17" s="12" t="s">
        <v>30</v>
      </c>
      <c r="R17" s="12" t="s">
        <v>30</v>
      </c>
      <c r="S17" s="12" t="s">
        <v>37</v>
      </c>
      <c r="T17" s="12" t="s">
        <v>1009</v>
      </c>
      <c r="U17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294541 Verified</v>
      </c>
      <c r="V17" s="12" t="s">
        <v>784</v>
      </c>
      <c r="W17" s="12" t="s">
        <v>762</v>
      </c>
      <c r="X17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7" s="12" t="s">
        <v>762</v>
      </c>
      <c r="Z17" s="12" t="s">
        <v>762</v>
      </c>
      <c r="AA17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7" s="12" t="s">
        <v>762</v>
      </c>
      <c r="AC17" s="12" t="s">
        <v>762</v>
      </c>
      <c r="AD17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7" s="12" t="s">
        <v>762</v>
      </c>
      <c r="AF17" s="12" t="s">
        <v>762</v>
      </c>
      <c r="AG17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7" s="12" t="s">
        <v>762</v>
      </c>
      <c r="AI17" s="12" t="s">
        <v>762</v>
      </c>
      <c r="AJ17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7" s="12" t="s">
        <v>762</v>
      </c>
      <c r="AL17" s="12"/>
      <c r="AM17" s="12"/>
      <c r="AN17" s="12"/>
      <c r="AO17" s="12" t="s">
        <v>66</v>
      </c>
      <c r="AP17" s="12" t="s">
        <v>66</v>
      </c>
      <c r="AQ17" s="12"/>
      <c r="AR17" s="14"/>
      <c r="AS17" s="14"/>
      <c r="AT17" s="13">
        <v>43482</v>
      </c>
      <c r="AU17" s="14"/>
    </row>
    <row r="18" spans="1:47" ht="18.75" x14ac:dyDescent="0.3">
      <c r="A18" s="12" t="s">
        <v>145</v>
      </c>
      <c r="B18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TK823902</v>
      </c>
      <c r="C18" s="12" t="s">
        <v>146</v>
      </c>
      <c r="D18" s="12" t="s">
        <v>147</v>
      </c>
      <c r="E18" s="12" t="s">
        <v>63</v>
      </c>
      <c r="F18" s="13">
        <v>43483</v>
      </c>
      <c r="G18" s="13">
        <v>43483</v>
      </c>
      <c r="H18" s="12" t="s">
        <v>36</v>
      </c>
      <c r="I18" s="13">
        <v>43585</v>
      </c>
      <c r="J18" s="12" t="s">
        <v>66</v>
      </c>
      <c r="K18" s="12" t="s">
        <v>29</v>
      </c>
      <c r="L18" s="14">
        <v>3</v>
      </c>
      <c r="M18" s="14">
        <v>18</v>
      </c>
      <c r="N18" s="14">
        <v>3</v>
      </c>
      <c r="O18" s="14"/>
      <c r="P18" s="14"/>
      <c r="Q18" s="12" t="s">
        <v>30</v>
      </c>
      <c r="R18" s="12" t="s">
        <v>30</v>
      </c>
      <c r="S18" s="12" t="s">
        <v>37</v>
      </c>
      <c r="T18" s="12" t="s">
        <v>1009</v>
      </c>
      <c r="U18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294541 Verified</v>
      </c>
      <c r="V18" s="12" t="s">
        <v>784</v>
      </c>
      <c r="W18" s="12" t="s">
        <v>762</v>
      </c>
      <c r="X18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8" s="12" t="s">
        <v>762</v>
      </c>
      <c r="Z18" s="12" t="s">
        <v>762</v>
      </c>
      <c r="AA18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8" s="12" t="s">
        <v>762</v>
      </c>
      <c r="AC18" s="12" t="s">
        <v>762</v>
      </c>
      <c r="AD18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8" s="12" t="s">
        <v>762</v>
      </c>
      <c r="AF18" s="12" t="s">
        <v>762</v>
      </c>
      <c r="AG18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8" s="12" t="s">
        <v>762</v>
      </c>
      <c r="AI18" s="12" t="s">
        <v>762</v>
      </c>
      <c r="AJ18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8" s="12" t="s">
        <v>762</v>
      </c>
      <c r="AL18" s="12"/>
      <c r="AM18" s="12"/>
      <c r="AN18" s="12"/>
      <c r="AO18" s="12" t="s">
        <v>66</v>
      </c>
      <c r="AP18" s="12" t="s">
        <v>66</v>
      </c>
      <c r="AQ18" s="12"/>
      <c r="AR18" s="14"/>
      <c r="AS18" s="14"/>
      <c r="AT18" s="13">
        <v>43482</v>
      </c>
      <c r="AU18" s="14"/>
    </row>
    <row r="19" spans="1:47" ht="18.75" x14ac:dyDescent="0.3">
      <c r="A19" s="12" t="s">
        <v>148</v>
      </c>
      <c r="B19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TK836981</v>
      </c>
      <c r="C19" s="12" t="s">
        <v>149</v>
      </c>
      <c r="D19" s="12" t="s">
        <v>150</v>
      </c>
      <c r="E19" s="12" t="s">
        <v>151</v>
      </c>
      <c r="F19" s="13">
        <v>43484</v>
      </c>
      <c r="G19" s="13">
        <v>43484</v>
      </c>
      <c r="H19" s="12" t="s">
        <v>36</v>
      </c>
      <c r="I19" s="13">
        <v>43495</v>
      </c>
      <c r="J19" s="12" t="s">
        <v>66</v>
      </c>
      <c r="K19" s="12" t="s">
        <v>29</v>
      </c>
      <c r="L19" s="14">
        <v>3</v>
      </c>
      <c r="M19" s="14">
        <v>34.5</v>
      </c>
      <c r="N19" s="14">
        <v>3</v>
      </c>
      <c r="O19" s="14"/>
      <c r="P19" s="14"/>
      <c r="Q19" s="12" t="s">
        <v>30</v>
      </c>
      <c r="R19" s="12" t="s">
        <v>30</v>
      </c>
      <c r="S19" s="12" t="s">
        <v>37</v>
      </c>
      <c r="T19" s="12" t="s">
        <v>1010</v>
      </c>
      <c r="U19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267860 Verified</v>
      </c>
      <c r="V19" s="12" t="s">
        <v>784</v>
      </c>
      <c r="W19" s="12" t="s">
        <v>762</v>
      </c>
      <c r="X19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9" s="12" t="s">
        <v>762</v>
      </c>
      <c r="Z19" s="12" t="s">
        <v>762</v>
      </c>
      <c r="AA19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9" s="12" t="s">
        <v>762</v>
      </c>
      <c r="AC19" s="12" t="s">
        <v>762</v>
      </c>
      <c r="AD19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9" s="12" t="s">
        <v>762</v>
      </c>
      <c r="AF19" s="12" t="s">
        <v>762</v>
      </c>
      <c r="AG19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9" s="12" t="s">
        <v>762</v>
      </c>
      <c r="AI19" s="12" t="s">
        <v>762</v>
      </c>
      <c r="AJ19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9" s="12" t="s">
        <v>762</v>
      </c>
      <c r="AL19" s="12" t="s">
        <v>152</v>
      </c>
      <c r="AM19" s="12" t="s">
        <v>40</v>
      </c>
      <c r="AN19" s="12"/>
      <c r="AO19" s="12" t="s">
        <v>66</v>
      </c>
      <c r="AP19" s="12" t="s">
        <v>66</v>
      </c>
      <c r="AQ19" s="12"/>
      <c r="AR19" s="14"/>
      <c r="AS19" s="14"/>
      <c r="AT19" s="13">
        <v>43482</v>
      </c>
      <c r="AU19" s="14"/>
    </row>
    <row r="20" spans="1:47" ht="18.75" x14ac:dyDescent="0.3">
      <c r="A20" s="12" t="s">
        <v>142</v>
      </c>
      <c r="B20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TK827555</v>
      </c>
      <c r="C20" s="12" t="s">
        <v>143</v>
      </c>
      <c r="D20" s="12" t="s">
        <v>144</v>
      </c>
      <c r="E20" s="12" t="s">
        <v>129</v>
      </c>
      <c r="F20" s="13">
        <v>43484</v>
      </c>
      <c r="G20" s="13">
        <v>43484</v>
      </c>
      <c r="H20" s="12" t="s">
        <v>36</v>
      </c>
      <c r="I20" s="13">
        <v>43547</v>
      </c>
      <c r="J20" s="12" t="s">
        <v>66</v>
      </c>
      <c r="K20" s="12" t="s">
        <v>34</v>
      </c>
      <c r="L20" s="14">
        <v>3</v>
      </c>
      <c r="M20" s="14">
        <v>34.5</v>
      </c>
      <c r="N20" s="14">
        <v>3</v>
      </c>
      <c r="O20" s="14"/>
      <c r="P20" s="14"/>
      <c r="Q20" s="12" t="s">
        <v>30</v>
      </c>
      <c r="R20" s="12" t="s">
        <v>30</v>
      </c>
      <c r="S20" s="12" t="s">
        <v>37</v>
      </c>
      <c r="T20" s="12" t="s">
        <v>1006</v>
      </c>
      <c r="U20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283361 Suspended</v>
      </c>
      <c r="V20" s="12" t="s">
        <v>783</v>
      </c>
      <c r="W20" s="12" t="s">
        <v>762</v>
      </c>
      <c r="X20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20" s="12" t="s">
        <v>762</v>
      </c>
      <c r="Z20" s="12" t="s">
        <v>762</v>
      </c>
      <c r="AA20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20" s="12" t="s">
        <v>762</v>
      </c>
      <c r="AC20" s="12" t="s">
        <v>762</v>
      </c>
      <c r="AD20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20" s="12" t="s">
        <v>762</v>
      </c>
      <c r="AF20" s="12" t="s">
        <v>762</v>
      </c>
      <c r="AG20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20" s="12" t="s">
        <v>762</v>
      </c>
      <c r="AI20" s="12" t="s">
        <v>762</v>
      </c>
      <c r="AJ20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20" s="12" t="s">
        <v>762</v>
      </c>
      <c r="AL20" s="12"/>
      <c r="AM20" s="12"/>
      <c r="AN20" s="12"/>
      <c r="AO20" s="12" t="s">
        <v>66</v>
      </c>
      <c r="AP20" s="12"/>
      <c r="AQ20" s="12"/>
      <c r="AR20" s="14"/>
      <c r="AS20" s="14"/>
      <c r="AT20" s="13">
        <v>43482</v>
      </c>
      <c r="AU20" s="14"/>
    </row>
    <row r="21" spans="1:47" ht="18.75" x14ac:dyDescent="0.3">
      <c r="A21" s="12" t="s">
        <v>153</v>
      </c>
      <c r="B21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TK807171</v>
      </c>
      <c r="C21" s="12" t="s">
        <v>154</v>
      </c>
      <c r="D21" s="12" t="s">
        <v>155</v>
      </c>
      <c r="E21" s="12" t="s">
        <v>156</v>
      </c>
      <c r="F21" s="13">
        <v>43484</v>
      </c>
      <c r="G21" s="13">
        <v>43484</v>
      </c>
      <c r="H21" s="12" t="s">
        <v>36</v>
      </c>
      <c r="I21" s="13">
        <v>43831</v>
      </c>
      <c r="J21" s="12" t="s">
        <v>66</v>
      </c>
      <c r="K21" s="12" t="s">
        <v>34</v>
      </c>
      <c r="L21" s="14">
        <v>3</v>
      </c>
      <c r="M21" s="14">
        <v>34.5</v>
      </c>
      <c r="N21" s="14">
        <v>3</v>
      </c>
      <c r="O21" s="14"/>
      <c r="P21" s="14"/>
      <c r="Q21" s="12" t="s">
        <v>42</v>
      </c>
      <c r="R21" s="12" t="s">
        <v>42</v>
      </c>
      <c r="S21" s="12" t="s">
        <v>37</v>
      </c>
      <c r="T21" s="12" t="s">
        <v>1011</v>
      </c>
      <c r="U21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238076 Verified</v>
      </c>
      <c r="V21" s="12" t="s">
        <v>784</v>
      </c>
      <c r="W21" s="12" t="s">
        <v>762</v>
      </c>
      <c r="X21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21" s="12" t="s">
        <v>762</v>
      </c>
      <c r="Z21" s="12" t="s">
        <v>762</v>
      </c>
      <c r="AA21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21" s="12" t="s">
        <v>762</v>
      </c>
      <c r="AC21" s="12" t="s">
        <v>762</v>
      </c>
      <c r="AD21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21" s="12" t="s">
        <v>762</v>
      </c>
      <c r="AF21" s="12" t="s">
        <v>762</v>
      </c>
      <c r="AG21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21" s="12" t="s">
        <v>762</v>
      </c>
      <c r="AI21" s="12" t="s">
        <v>762</v>
      </c>
      <c r="AJ21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21" s="12" t="s">
        <v>762</v>
      </c>
      <c r="AL21" s="12"/>
      <c r="AM21" s="12"/>
      <c r="AN21" s="12"/>
      <c r="AO21" s="12" t="s">
        <v>66</v>
      </c>
      <c r="AP21" s="12" t="s">
        <v>66</v>
      </c>
      <c r="AQ21" s="12"/>
      <c r="AR21" s="14"/>
      <c r="AS21" s="14"/>
      <c r="AT21" s="13">
        <v>43482</v>
      </c>
      <c r="AU21" s="14"/>
    </row>
    <row r="22" spans="1:47" ht="18.75" x14ac:dyDescent="0.3">
      <c r="A22" s="12" t="s">
        <v>160</v>
      </c>
      <c r="B22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TK833271</v>
      </c>
      <c r="C22" s="12" t="s">
        <v>161</v>
      </c>
      <c r="D22" s="12" t="s">
        <v>162</v>
      </c>
      <c r="E22" s="12" t="s">
        <v>151</v>
      </c>
      <c r="F22" s="13">
        <v>43485</v>
      </c>
      <c r="G22" s="13">
        <v>43485</v>
      </c>
      <c r="H22" s="12" t="s">
        <v>36</v>
      </c>
      <c r="I22" s="13">
        <v>43481</v>
      </c>
      <c r="J22" s="12" t="s">
        <v>66</v>
      </c>
      <c r="K22" s="12" t="s">
        <v>34</v>
      </c>
      <c r="L22" s="14">
        <v>3</v>
      </c>
      <c r="M22" s="14">
        <v>18</v>
      </c>
      <c r="N22" s="14">
        <v>3</v>
      </c>
      <c r="O22" s="14"/>
      <c r="P22" s="14"/>
      <c r="Q22" s="12" t="s">
        <v>30</v>
      </c>
      <c r="R22" s="12" t="s">
        <v>30</v>
      </c>
      <c r="S22" s="12" t="s">
        <v>37</v>
      </c>
      <c r="T22" s="12" t="s">
        <v>1012</v>
      </c>
      <c r="U22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268258 Closed</v>
      </c>
      <c r="V22" s="12" t="s">
        <v>790</v>
      </c>
      <c r="W22" s="12" t="s">
        <v>1013</v>
      </c>
      <c r="X22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>290830 Verified</v>
      </c>
      <c r="Y22" s="12" t="s">
        <v>784</v>
      </c>
      <c r="Z22" s="12" t="s">
        <v>762</v>
      </c>
      <c r="AA22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22" s="12" t="s">
        <v>762</v>
      </c>
      <c r="AC22" s="12" t="s">
        <v>762</v>
      </c>
      <c r="AD22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22" s="12" t="s">
        <v>762</v>
      </c>
      <c r="AF22" s="12" t="s">
        <v>762</v>
      </c>
      <c r="AG22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22" s="12" t="s">
        <v>762</v>
      </c>
      <c r="AI22" s="12" t="s">
        <v>762</v>
      </c>
      <c r="AJ22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22" s="12" t="s">
        <v>762</v>
      </c>
      <c r="AL22" s="12"/>
      <c r="AM22" s="12"/>
      <c r="AN22" s="12"/>
      <c r="AO22" s="12" t="s">
        <v>66</v>
      </c>
      <c r="AP22" s="12"/>
      <c r="AQ22" s="12"/>
      <c r="AR22" s="14"/>
      <c r="AS22" s="14"/>
      <c r="AT22" s="13">
        <v>43482</v>
      </c>
      <c r="AU22" s="14"/>
    </row>
    <row r="23" spans="1:47" ht="18.75" x14ac:dyDescent="0.3">
      <c r="A23" s="12" t="s">
        <v>157</v>
      </c>
      <c r="B23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TK833270</v>
      </c>
      <c r="C23" s="12" t="s">
        <v>158</v>
      </c>
      <c r="D23" s="12" t="s">
        <v>159</v>
      </c>
      <c r="E23" s="12" t="s">
        <v>151</v>
      </c>
      <c r="F23" s="13">
        <v>43485</v>
      </c>
      <c r="G23" s="13">
        <v>43485</v>
      </c>
      <c r="H23" s="12" t="s">
        <v>36</v>
      </c>
      <c r="I23" s="13">
        <v>43481</v>
      </c>
      <c r="J23" s="12" t="s">
        <v>66</v>
      </c>
      <c r="K23" s="12" t="s">
        <v>34</v>
      </c>
      <c r="L23" s="14">
        <v>3</v>
      </c>
      <c r="M23" s="14">
        <v>18</v>
      </c>
      <c r="N23" s="14">
        <v>3</v>
      </c>
      <c r="O23" s="14"/>
      <c r="P23" s="14"/>
      <c r="Q23" s="12" t="s">
        <v>30</v>
      </c>
      <c r="R23" s="12" t="s">
        <v>30</v>
      </c>
      <c r="S23" s="12" t="s">
        <v>37</v>
      </c>
      <c r="T23" s="12" t="s">
        <v>1012</v>
      </c>
      <c r="U23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268258 Closed</v>
      </c>
      <c r="V23" s="12" t="s">
        <v>790</v>
      </c>
      <c r="W23" s="12" t="s">
        <v>1013</v>
      </c>
      <c r="X23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>290830 Verified</v>
      </c>
      <c r="Y23" s="12" t="s">
        <v>784</v>
      </c>
      <c r="Z23" s="12" t="s">
        <v>762</v>
      </c>
      <c r="AA23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23" s="12" t="s">
        <v>762</v>
      </c>
      <c r="AC23" s="12" t="s">
        <v>762</v>
      </c>
      <c r="AD23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23" s="12" t="s">
        <v>762</v>
      </c>
      <c r="AF23" s="12" t="s">
        <v>762</v>
      </c>
      <c r="AG23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23" s="12" t="s">
        <v>762</v>
      </c>
      <c r="AI23" s="12" t="s">
        <v>762</v>
      </c>
      <c r="AJ23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23" s="12" t="s">
        <v>762</v>
      </c>
      <c r="AL23" s="12"/>
      <c r="AM23" s="12"/>
      <c r="AN23" s="12"/>
      <c r="AO23" s="12" t="s">
        <v>66</v>
      </c>
      <c r="AP23" s="12"/>
      <c r="AQ23" s="12"/>
      <c r="AR23" s="14"/>
      <c r="AS23" s="14"/>
      <c r="AT23" s="13">
        <v>43482</v>
      </c>
      <c r="AU23" s="14"/>
    </row>
    <row r="24" spans="1:47" ht="18.75" x14ac:dyDescent="0.3">
      <c r="A24" s="12" t="s">
        <v>166</v>
      </c>
      <c r="B24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TK862301</v>
      </c>
      <c r="C24" s="12" t="s">
        <v>167</v>
      </c>
      <c r="D24" s="12" t="s">
        <v>168</v>
      </c>
      <c r="E24" s="12" t="s">
        <v>169</v>
      </c>
      <c r="F24" s="13">
        <v>43485</v>
      </c>
      <c r="G24" s="13">
        <v>43486</v>
      </c>
      <c r="H24" s="12" t="s">
        <v>36</v>
      </c>
      <c r="I24" s="13">
        <v>43524</v>
      </c>
      <c r="J24" s="12" t="s">
        <v>66</v>
      </c>
      <c r="K24" s="12" t="s">
        <v>29</v>
      </c>
      <c r="L24" s="14">
        <v>3</v>
      </c>
      <c r="M24" s="14">
        <v>72</v>
      </c>
      <c r="N24" s="14">
        <v>3</v>
      </c>
      <c r="O24" s="14"/>
      <c r="P24" s="14"/>
      <c r="Q24" s="12" t="s">
        <v>42</v>
      </c>
      <c r="R24" s="12" t="s">
        <v>42</v>
      </c>
      <c r="S24" s="12" t="s">
        <v>37</v>
      </c>
      <c r="T24" s="12" t="s">
        <v>1014</v>
      </c>
      <c r="U24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286983 Verified</v>
      </c>
      <c r="V24" s="12" t="s">
        <v>785</v>
      </c>
      <c r="W24" s="12" t="s">
        <v>762</v>
      </c>
      <c r="X24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24" s="12" t="s">
        <v>762</v>
      </c>
      <c r="Z24" s="12" t="s">
        <v>762</v>
      </c>
      <c r="AA24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24" s="12" t="s">
        <v>762</v>
      </c>
      <c r="AC24" s="12" t="s">
        <v>762</v>
      </c>
      <c r="AD24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24" s="12" t="s">
        <v>762</v>
      </c>
      <c r="AF24" s="12" t="s">
        <v>762</v>
      </c>
      <c r="AG24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24" s="12" t="s">
        <v>762</v>
      </c>
      <c r="AI24" s="12" t="s">
        <v>762</v>
      </c>
      <c r="AJ24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24" s="12" t="s">
        <v>762</v>
      </c>
      <c r="AL24" s="12"/>
      <c r="AM24" s="12"/>
      <c r="AN24" s="12"/>
      <c r="AO24" s="12" t="s">
        <v>66</v>
      </c>
      <c r="AP24" s="12" t="s">
        <v>66</v>
      </c>
      <c r="AQ24" s="12"/>
      <c r="AR24" s="14"/>
      <c r="AS24" s="14"/>
      <c r="AT24" s="13">
        <v>43482</v>
      </c>
      <c r="AU24" s="14"/>
    </row>
    <row r="25" spans="1:47" ht="18.75" x14ac:dyDescent="0.3">
      <c r="A25" s="12" t="s">
        <v>163</v>
      </c>
      <c r="B25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TK807142</v>
      </c>
      <c r="C25" s="12" t="s">
        <v>164</v>
      </c>
      <c r="D25" s="12" t="s">
        <v>165</v>
      </c>
      <c r="E25" s="12" t="s">
        <v>156</v>
      </c>
      <c r="F25" s="13">
        <v>43485</v>
      </c>
      <c r="G25" s="13">
        <v>43486</v>
      </c>
      <c r="H25" s="12" t="s">
        <v>36</v>
      </c>
      <c r="I25" s="13">
        <v>43830</v>
      </c>
      <c r="J25" s="12" t="s">
        <v>66</v>
      </c>
      <c r="K25" s="12" t="s">
        <v>29</v>
      </c>
      <c r="L25" s="14">
        <v>3</v>
      </c>
      <c r="M25" s="14">
        <v>66</v>
      </c>
      <c r="N25" s="14">
        <v>3</v>
      </c>
      <c r="O25" s="14"/>
      <c r="P25" s="14"/>
      <c r="Q25" s="12" t="s">
        <v>30</v>
      </c>
      <c r="R25" s="12" t="s">
        <v>42</v>
      </c>
      <c r="S25" s="12" t="s">
        <v>37</v>
      </c>
      <c r="T25" s="12" t="s">
        <v>1015</v>
      </c>
      <c r="U25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238098 Verified</v>
      </c>
      <c r="V25" s="12" t="s">
        <v>784</v>
      </c>
      <c r="W25" s="12" t="s">
        <v>1016</v>
      </c>
      <c r="X25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>238618 Verified</v>
      </c>
      <c r="Y25" s="12" t="s">
        <v>785</v>
      </c>
      <c r="Z25" s="12" t="s">
        <v>762</v>
      </c>
      <c r="AA25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25" s="12" t="s">
        <v>762</v>
      </c>
      <c r="AC25" s="12" t="s">
        <v>762</v>
      </c>
      <c r="AD25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25" s="12" t="s">
        <v>762</v>
      </c>
      <c r="AF25" s="12" t="s">
        <v>762</v>
      </c>
      <c r="AG25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25" s="12" t="s">
        <v>762</v>
      </c>
      <c r="AI25" s="12" t="s">
        <v>762</v>
      </c>
      <c r="AJ25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25" s="12" t="s">
        <v>762</v>
      </c>
      <c r="AL25" s="12" t="s">
        <v>38</v>
      </c>
      <c r="AM25" s="12" t="s">
        <v>38</v>
      </c>
      <c r="AN25" s="12"/>
      <c r="AO25" s="12" t="s">
        <v>66</v>
      </c>
      <c r="AP25" s="12" t="s">
        <v>66</v>
      </c>
      <c r="AQ25" s="12"/>
      <c r="AR25" s="14"/>
      <c r="AS25" s="14"/>
      <c r="AT25" s="13">
        <v>43482</v>
      </c>
      <c r="AU25" s="14"/>
    </row>
    <row r="26" spans="1:47" ht="18.75" x14ac:dyDescent="0.3">
      <c r="A26" s="12" t="s">
        <v>170</v>
      </c>
      <c r="B26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TK832125</v>
      </c>
      <c r="C26" s="12" t="s">
        <v>171</v>
      </c>
      <c r="D26" s="12" t="s">
        <v>172</v>
      </c>
      <c r="E26" s="12" t="s">
        <v>173</v>
      </c>
      <c r="F26" s="13">
        <v>43486</v>
      </c>
      <c r="G26" s="13">
        <v>43486</v>
      </c>
      <c r="H26" s="12" t="s">
        <v>36</v>
      </c>
      <c r="I26" s="13">
        <v>43680</v>
      </c>
      <c r="J26" s="12" t="s">
        <v>66</v>
      </c>
      <c r="K26" s="12" t="s">
        <v>34</v>
      </c>
      <c r="L26" s="14">
        <v>3</v>
      </c>
      <c r="M26" s="14">
        <v>12</v>
      </c>
      <c r="N26" s="14">
        <v>3</v>
      </c>
      <c r="O26" s="14"/>
      <c r="P26" s="14"/>
      <c r="Q26" s="12" t="s">
        <v>30</v>
      </c>
      <c r="R26" s="12" t="s">
        <v>30</v>
      </c>
      <c r="S26" s="12" t="s">
        <v>37</v>
      </c>
      <c r="T26" s="12" t="s">
        <v>1017</v>
      </c>
      <c r="U26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294542 Verified</v>
      </c>
      <c r="V26" s="12" t="s">
        <v>784</v>
      </c>
      <c r="W26" s="12" t="s">
        <v>762</v>
      </c>
      <c r="X26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26" s="12" t="s">
        <v>762</v>
      </c>
      <c r="Z26" s="12" t="s">
        <v>762</v>
      </c>
      <c r="AA26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26" s="12" t="s">
        <v>762</v>
      </c>
      <c r="AC26" s="12" t="s">
        <v>762</v>
      </c>
      <c r="AD26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26" s="12" t="s">
        <v>762</v>
      </c>
      <c r="AF26" s="12" t="s">
        <v>762</v>
      </c>
      <c r="AG26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26" s="12" t="s">
        <v>762</v>
      </c>
      <c r="AI26" s="12" t="s">
        <v>762</v>
      </c>
      <c r="AJ26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26" s="12" t="s">
        <v>762</v>
      </c>
      <c r="AL26" s="12"/>
      <c r="AM26" s="12"/>
      <c r="AN26" s="12"/>
      <c r="AO26" s="12" t="s">
        <v>66</v>
      </c>
      <c r="AP26" s="12"/>
      <c r="AQ26" s="12"/>
      <c r="AR26" s="14"/>
      <c r="AS26" s="14"/>
      <c r="AT26" s="13">
        <v>43482</v>
      </c>
      <c r="AU26" s="14"/>
    </row>
    <row r="27" spans="1:47" ht="18.75" x14ac:dyDescent="0.3">
      <c r="A27" s="12" t="s">
        <v>177</v>
      </c>
      <c r="B27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TK862303</v>
      </c>
      <c r="C27" s="12" t="s">
        <v>178</v>
      </c>
      <c r="D27" s="12" t="s">
        <v>179</v>
      </c>
      <c r="E27" s="12" t="s">
        <v>169</v>
      </c>
      <c r="F27" s="13">
        <v>43487</v>
      </c>
      <c r="G27" s="13">
        <v>43487</v>
      </c>
      <c r="H27" s="12" t="s">
        <v>36</v>
      </c>
      <c r="I27" s="13">
        <v>43525</v>
      </c>
      <c r="J27" s="12" t="s">
        <v>66</v>
      </c>
      <c r="K27" s="12" t="s">
        <v>34</v>
      </c>
      <c r="L27" s="14">
        <v>3</v>
      </c>
      <c r="M27" s="14">
        <v>18</v>
      </c>
      <c r="N27" s="14">
        <v>3</v>
      </c>
      <c r="O27" s="14"/>
      <c r="P27" s="14"/>
      <c r="Q27" s="12" t="s">
        <v>30</v>
      </c>
      <c r="R27" s="12" t="s">
        <v>30</v>
      </c>
      <c r="S27" s="12" t="s">
        <v>37</v>
      </c>
      <c r="T27" s="12" t="s">
        <v>1018</v>
      </c>
      <c r="U27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290377 Suspended</v>
      </c>
      <c r="V27" s="12" t="s">
        <v>783</v>
      </c>
      <c r="W27" s="12" t="s">
        <v>762</v>
      </c>
      <c r="X27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27" s="12" t="s">
        <v>762</v>
      </c>
      <c r="Z27" s="12" t="s">
        <v>762</v>
      </c>
      <c r="AA27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27" s="12" t="s">
        <v>762</v>
      </c>
      <c r="AC27" s="12" t="s">
        <v>762</v>
      </c>
      <c r="AD27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27" s="12" t="s">
        <v>762</v>
      </c>
      <c r="AF27" s="12" t="s">
        <v>762</v>
      </c>
      <c r="AG27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27" s="12" t="s">
        <v>762</v>
      </c>
      <c r="AI27" s="12" t="s">
        <v>762</v>
      </c>
      <c r="AJ27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27" s="12" t="s">
        <v>762</v>
      </c>
      <c r="AL27" s="12"/>
      <c r="AM27" s="12"/>
      <c r="AN27" s="12"/>
      <c r="AO27" s="12" t="s">
        <v>66</v>
      </c>
      <c r="AP27" s="12"/>
      <c r="AQ27" s="12"/>
      <c r="AR27" s="14"/>
      <c r="AS27" s="14"/>
      <c r="AT27" s="13">
        <v>43482</v>
      </c>
      <c r="AU27" s="14"/>
    </row>
    <row r="28" spans="1:47" ht="18.75" x14ac:dyDescent="0.3">
      <c r="A28" s="12" t="s">
        <v>174</v>
      </c>
      <c r="B28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TK862304</v>
      </c>
      <c r="C28" s="12" t="s">
        <v>175</v>
      </c>
      <c r="D28" s="12" t="s">
        <v>176</v>
      </c>
      <c r="E28" s="12" t="s">
        <v>169</v>
      </c>
      <c r="F28" s="13">
        <v>43487</v>
      </c>
      <c r="G28" s="13">
        <v>43487</v>
      </c>
      <c r="H28" s="12" t="s">
        <v>36</v>
      </c>
      <c r="I28" s="13">
        <v>43525</v>
      </c>
      <c r="J28" s="12" t="s">
        <v>66</v>
      </c>
      <c r="K28" s="12" t="s">
        <v>34</v>
      </c>
      <c r="L28" s="14">
        <v>3</v>
      </c>
      <c r="M28" s="14">
        <v>18</v>
      </c>
      <c r="N28" s="14">
        <v>3</v>
      </c>
      <c r="O28" s="14"/>
      <c r="P28" s="14"/>
      <c r="Q28" s="12" t="s">
        <v>30</v>
      </c>
      <c r="R28" s="12" t="s">
        <v>30</v>
      </c>
      <c r="S28" s="12" t="s">
        <v>37</v>
      </c>
      <c r="T28" s="12" t="s">
        <v>1018</v>
      </c>
      <c r="U28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290377 Suspended</v>
      </c>
      <c r="V28" s="12" t="s">
        <v>783</v>
      </c>
      <c r="W28" s="12" t="s">
        <v>762</v>
      </c>
      <c r="X28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28" s="12" t="s">
        <v>762</v>
      </c>
      <c r="Z28" s="12" t="s">
        <v>762</v>
      </c>
      <c r="AA28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28" s="12" t="s">
        <v>762</v>
      </c>
      <c r="AC28" s="12" t="s">
        <v>762</v>
      </c>
      <c r="AD28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28" s="12" t="s">
        <v>762</v>
      </c>
      <c r="AF28" s="12" t="s">
        <v>762</v>
      </c>
      <c r="AG28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28" s="12" t="s">
        <v>762</v>
      </c>
      <c r="AI28" s="12" t="s">
        <v>762</v>
      </c>
      <c r="AJ28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28" s="12" t="s">
        <v>762</v>
      </c>
      <c r="AL28" s="12"/>
      <c r="AM28" s="12"/>
      <c r="AN28" s="12"/>
      <c r="AO28" s="12" t="s">
        <v>66</v>
      </c>
      <c r="AP28" s="12"/>
      <c r="AQ28" s="12"/>
      <c r="AR28" s="14"/>
      <c r="AS28" s="14"/>
      <c r="AT28" s="13">
        <v>43482</v>
      </c>
      <c r="AU28" s="14"/>
    </row>
    <row r="29" spans="1:47" ht="18.75" x14ac:dyDescent="0.3">
      <c r="A29" s="12" t="s">
        <v>180</v>
      </c>
      <c r="B29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TK827505</v>
      </c>
      <c r="C29" s="12" t="s">
        <v>181</v>
      </c>
      <c r="D29" s="12" t="s">
        <v>182</v>
      </c>
      <c r="E29" s="12" t="s">
        <v>173</v>
      </c>
      <c r="F29" s="13">
        <v>43487</v>
      </c>
      <c r="G29" s="13">
        <v>43487</v>
      </c>
      <c r="H29" s="12" t="s">
        <v>36</v>
      </c>
      <c r="I29" s="13">
        <v>43680</v>
      </c>
      <c r="J29" s="12" t="s">
        <v>66</v>
      </c>
      <c r="K29" s="12" t="s">
        <v>29</v>
      </c>
      <c r="L29" s="14">
        <v>3</v>
      </c>
      <c r="M29" s="14">
        <v>34.5</v>
      </c>
      <c r="N29" s="14">
        <v>3</v>
      </c>
      <c r="O29" s="14"/>
      <c r="P29" s="14"/>
      <c r="Q29" s="12" t="s">
        <v>30</v>
      </c>
      <c r="R29" s="12" t="s">
        <v>30</v>
      </c>
      <c r="S29" s="12" t="s">
        <v>37</v>
      </c>
      <c r="T29" s="12" t="s">
        <v>1017</v>
      </c>
      <c r="U29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294542 Verified</v>
      </c>
      <c r="V29" s="12" t="s">
        <v>784</v>
      </c>
      <c r="W29" s="12" t="s">
        <v>1019</v>
      </c>
      <c r="X29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>295165 Verified</v>
      </c>
      <c r="Y29" s="12" t="s">
        <v>785</v>
      </c>
      <c r="Z29" s="12" t="s">
        <v>762</v>
      </c>
      <c r="AA29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29" s="12" t="s">
        <v>762</v>
      </c>
      <c r="AC29" s="12" t="s">
        <v>762</v>
      </c>
      <c r="AD29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29" s="12" t="s">
        <v>762</v>
      </c>
      <c r="AF29" s="12" t="s">
        <v>762</v>
      </c>
      <c r="AG29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29" s="12" t="s">
        <v>762</v>
      </c>
      <c r="AI29" s="12" t="s">
        <v>762</v>
      </c>
      <c r="AJ29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29" s="12" t="s">
        <v>762</v>
      </c>
      <c r="AL29" s="12"/>
      <c r="AM29" s="12"/>
      <c r="AN29" s="12"/>
      <c r="AO29" s="12" t="s">
        <v>66</v>
      </c>
      <c r="AP29" s="12"/>
      <c r="AQ29" s="12"/>
      <c r="AR29" s="14"/>
      <c r="AS29" s="14"/>
      <c r="AT29" s="13">
        <v>43482</v>
      </c>
      <c r="AU29" s="14"/>
    </row>
    <row r="30" spans="1:47" ht="18.75" x14ac:dyDescent="0.3">
      <c r="A30" s="12" t="s">
        <v>183</v>
      </c>
      <c r="B30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TK807177</v>
      </c>
      <c r="C30" s="12" t="s">
        <v>184</v>
      </c>
      <c r="D30" s="12" t="s">
        <v>185</v>
      </c>
      <c r="E30" s="12" t="s">
        <v>156</v>
      </c>
      <c r="F30" s="13">
        <v>43488</v>
      </c>
      <c r="G30" s="13">
        <v>43488</v>
      </c>
      <c r="H30" s="12" t="s">
        <v>36</v>
      </c>
      <c r="I30" s="13">
        <v>43831</v>
      </c>
      <c r="J30" s="12" t="s">
        <v>66</v>
      </c>
      <c r="K30" s="12" t="s">
        <v>34</v>
      </c>
      <c r="L30" s="14">
        <v>3</v>
      </c>
      <c r="M30" s="14">
        <v>34.5</v>
      </c>
      <c r="N30" s="14">
        <v>3</v>
      </c>
      <c r="O30" s="14"/>
      <c r="P30" s="14"/>
      <c r="Q30" s="12" t="s">
        <v>30</v>
      </c>
      <c r="R30" s="12" t="s">
        <v>30</v>
      </c>
      <c r="S30" s="12" t="s">
        <v>33</v>
      </c>
      <c r="T30" s="12" t="s">
        <v>1011</v>
      </c>
      <c r="U30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238076 Verified</v>
      </c>
      <c r="V30" s="12" t="s">
        <v>784</v>
      </c>
      <c r="W30" s="12" t="s">
        <v>762</v>
      </c>
      <c r="X30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30" s="12" t="s">
        <v>762</v>
      </c>
      <c r="Z30" s="12" t="s">
        <v>762</v>
      </c>
      <c r="AA30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30" s="12" t="s">
        <v>762</v>
      </c>
      <c r="AC30" s="12" t="s">
        <v>762</v>
      </c>
      <c r="AD30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30" s="12" t="s">
        <v>762</v>
      </c>
      <c r="AF30" s="12" t="s">
        <v>762</v>
      </c>
      <c r="AG30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30" s="12" t="s">
        <v>762</v>
      </c>
      <c r="AI30" s="12" t="s">
        <v>762</v>
      </c>
      <c r="AJ30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30" s="12" t="s">
        <v>762</v>
      </c>
      <c r="AL30" s="12"/>
      <c r="AM30" s="12"/>
      <c r="AN30" s="12"/>
      <c r="AO30" s="12" t="s">
        <v>66</v>
      </c>
      <c r="AP30" s="12" t="s">
        <v>66</v>
      </c>
      <c r="AQ30" s="12"/>
      <c r="AR30" s="14"/>
      <c r="AS30" s="14"/>
      <c r="AT30" s="13">
        <v>43482</v>
      </c>
      <c r="AU30" s="14"/>
    </row>
    <row r="31" spans="1:47" ht="18.75" x14ac:dyDescent="0.3">
      <c r="A31" s="12"/>
      <c r="B31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/>
      </c>
      <c r="C31" s="12"/>
      <c r="D31" s="12"/>
      <c r="E31" s="12"/>
      <c r="F31" s="13"/>
      <c r="G31" s="13"/>
      <c r="H31" s="12"/>
      <c r="I31" s="13"/>
      <c r="J31" s="12"/>
      <c r="K31" s="12"/>
      <c r="L31" s="14"/>
      <c r="M31" s="14"/>
      <c r="N31" s="14"/>
      <c r="O31" s="14"/>
      <c r="P31" s="14"/>
      <c r="Q31" s="12"/>
      <c r="R31" s="12"/>
      <c r="S31" s="12"/>
      <c r="T31" s="12" t="s">
        <v>762</v>
      </c>
      <c r="U31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31" s="12" t="s">
        <v>762</v>
      </c>
      <c r="W31" s="12" t="s">
        <v>762</v>
      </c>
      <c r="X31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31" s="12" t="s">
        <v>762</v>
      </c>
      <c r="Z31" s="12" t="s">
        <v>762</v>
      </c>
      <c r="AA31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31" s="12" t="s">
        <v>762</v>
      </c>
      <c r="AC31" s="12" t="s">
        <v>762</v>
      </c>
      <c r="AD31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31" s="12" t="s">
        <v>762</v>
      </c>
      <c r="AF31" s="12" t="s">
        <v>762</v>
      </c>
      <c r="AG31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31" s="12" t="s">
        <v>762</v>
      </c>
      <c r="AI31" s="12" t="s">
        <v>762</v>
      </c>
      <c r="AJ31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31" s="12" t="s">
        <v>762</v>
      </c>
      <c r="AL31" s="12"/>
      <c r="AM31" s="12"/>
      <c r="AN31" s="12"/>
      <c r="AO31" s="12"/>
      <c r="AP31" s="12"/>
      <c r="AQ31" s="12"/>
      <c r="AR31" s="14"/>
      <c r="AS31" s="14"/>
      <c r="AT31" s="13">
        <v>43489</v>
      </c>
      <c r="AU31" s="14"/>
    </row>
    <row r="32" spans="1:47" ht="18.75" x14ac:dyDescent="0.3">
      <c r="A32" s="12"/>
      <c r="B32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1/24/2019</v>
      </c>
      <c r="C32" s="12" t="s">
        <v>49</v>
      </c>
      <c r="D32" s="12"/>
      <c r="E32" s="12"/>
      <c r="F32" s="13"/>
      <c r="G32" s="13"/>
      <c r="H32" s="12"/>
      <c r="I32" s="13"/>
      <c r="J32" s="12"/>
      <c r="K32" s="12"/>
      <c r="L32" s="14"/>
      <c r="M32" s="14"/>
      <c r="N32" s="14"/>
      <c r="O32" s="14"/>
      <c r="P32" s="14"/>
      <c r="Q32" s="12"/>
      <c r="R32" s="12"/>
      <c r="S32" s="12"/>
      <c r="T32" s="12" t="s">
        <v>762</v>
      </c>
      <c r="U32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32" s="12" t="s">
        <v>762</v>
      </c>
      <c r="W32" s="12" t="s">
        <v>762</v>
      </c>
      <c r="X32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32" s="12" t="s">
        <v>762</v>
      </c>
      <c r="Z32" s="12" t="s">
        <v>762</v>
      </c>
      <c r="AA32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32" s="12" t="s">
        <v>762</v>
      </c>
      <c r="AC32" s="12" t="s">
        <v>762</v>
      </c>
      <c r="AD32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32" s="12" t="s">
        <v>762</v>
      </c>
      <c r="AF32" s="12" t="s">
        <v>762</v>
      </c>
      <c r="AG32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32" s="12" t="s">
        <v>762</v>
      </c>
      <c r="AI32" s="12" t="s">
        <v>762</v>
      </c>
      <c r="AJ32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32" s="12" t="s">
        <v>762</v>
      </c>
      <c r="AL32" s="12"/>
      <c r="AM32" s="12"/>
      <c r="AN32" s="12"/>
      <c r="AO32" s="12"/>
      <c r="AP32" s="12"/>
      <c r="AQ32" s="12"/>
      <c r="AR32" s="14"/>
      <c r="AS32" s="14"/>
      <c r="AT32" s="13">
        <v>43489</v>
      </c>
      <c r="AU32" s="14"/>
    </row>
    <row r="33" spans="1:47" ht="18.75" x14ac:dyDescent="0.3">
      <c r="A33" s="12" t="s">
        <v>199</v>
      </c>
      <c r="B33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TK832129</v>
      </c>
      <c r="C33" s="12" t="s">
        <v>200</v>
      </c>
      <c r="D33" s="12" t="s">
        <v>201</v>
      </c>
      <c r="E33" s="12" t="s">
        <v>173</v>
      </c>
      <c r="F33" s="13">
        <v>43489</v>
      </c>
      <c r="G33" s="13">
        <v>43489</v>
      </c>
      <c r="H33" s="12" t="s">
        <v>36</v>
      </c>
      <c r="I33" s="13">
        <v>43680</v>
      </c>
      <c r="J33" s="12" t="s">
        <v>66</v>
      </c>
      <c r="K33" s="12" t="s">
        <v>34</v>
      </c>
      <c r="L33" s="14">
        <v>3</v>
      </c>
      <c r="M33" s="14">
        <v>18</v>
      </c>
      <c r="N33" s="14">
        <v>3</v>
      </c>
      <c r="O33" s="14"/>
      <c r="P33" s="14"/>
      <c r="Q33" s="12" t="s">
        <v>30</v>
      </c>
      <c r="R33" s="12" t="s">
        <v>30</v>
      </c>
      <c r="S33" s="12" t="s">
        <v>33</v>
      </c>
      <c r="T33" s="12" t="s">
        <v>1017</v>
      </c>
      <c r="U33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294542 Verified</v>
      </c>
      <c r="V33" s="12" t="s">
        <v>784</v>
      </c>
      <c r="W33" s="12" t="s">
        <v>762</v>
      </c>
      <c r="X33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33" s="12" t="s">
        <v>762</v>
      </c>
      <c r="Z33" s="12" t="s">
        <v>762</v>
      </c>
      <c r="AA33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33" s="12" t="s">
        <v>762</v>
      </c>
      <c r="AC33" s="12" t="s">
        <v>762</v>
      </c>
      <c r="AD33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33" s="12" t="s">
        <v>762</v>
      </c>
      <c r="AF33" s="12" t="s">
        <v>762</v>
      </c>
      <c r="AG33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33" s="12" t="s">
        <v>762</v>
      </c>
      <c r="AI33" s="12" t="s">
        <v>762</v>
      </c>
      <c r="AJ33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33" s="12" t="s">
        <v>762</v>
      </c>
      <c r="AL33" s="12"/>
      <c r="AM33" s="12"/>
      <c r="AN33" s="12"/>
      <c r="AO33" s="12" t="s">
        <v>66</v>
      </c>
      <c r="AP33" s="12"/>
      <c r="AQ33" s="12"/>
      <c r="AR33" s="14"/>
      <c r="AS33" s="14"/>
      <c r="AT33" s="13">
        <v>43489</v>
      </c>
      <c r="AU33" s="14"/>
    </row>
    <row r="34" spans="1:47" ht="18.75" x14ac:dyDescent="0.3">
      <c r="A34" s="12" t="s">
        <v>186</v>
      </c>
      <c r="B34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TK832132</v>
      </c>
      <c r="C34" s="12" t="s">
        <v>187</v>
      </c>
      <c r="D34" s="12" t="s">
        <v>188</v>
      </c>
      <c r="E34" s="12" t="s">
        <v>173</v>
      </c>
      <c r="F34" s="13">
        <v>43489</v>
      </c>
      <c r="G34" s="13">
        <v>43489</v>
      </c>
      <c r="H34" s="12" t="s">
        <v>36</v>
      </c>
      <c r="I34" s="13">
        <v>43680</v>
      </c>
      <c r="J34" s="12" t="s">
        <v>66</v>
      </c>
      <c r="K34" s="12" t="s">
        <v>34</v>
      </c>
      <c r="L34" s="14">
        <v>3</v>
      </c>
      <c r="M34" s="14">
        <v>18</v>
      </c>
      <c r="N34" s="14">
        <v>3</v>
      </c>
      <c r="O34" s="14"/>
      <c r="P34" s="14"/>
      <c r="Q34" s="12" t="s">
        <v>30</v>
      </c>
      <c r="R34" s="12" t="s">
        <v>30</v>
      </c>
      <c r="S34" s="12" t="s">
        <v>33</v>
      </c>
      <c r="T34" s="12" t="s">
        <v>1017</v>
      </c>
      <c r="U34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294542 Verified</v>
      </c>
      <c r="V34" s="12" t="s">
        <v>784</v>
      </c>
      <c r="W34" s="12" t="s">
        <v>762</v>
      </c>
      <c r="X34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34" s="12" t="s">
        <v>762</v>
      </c>
      <c r="Z34" s="12" t="s">
        <v>762</v>
      </c>
      <c r="AA34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34" s="12" t="s">
        <v>762</v>
      </c>
      <c r="AC34" s="12" t="s">
        <v>762</v>
      </c>
      <c r="AD34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34" s="12" t="s">
        <v>762</v>
      </c>
      <c r="AF34" s="12" t="s">
        <v>762</v>
      </c>
      <c r="AG34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34" s="12" t="s">
        <v>762</v>
      </c>
      <c r="AI34" s="12" t="s">
        <v>762</v>
      </c>
      <c r="AJ34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34" s="12" t="s">
        <v>762</v>
      </c>
      <c r="AL34" s="12"/>
      <c r="AM34" s="12"/>
      <c r="AN34" s="12"/>
      <c r="AO34" s="12" t="s">
        <v>66</v>
      </c>
      <c r="AP34" s="12"/>
      <c r="AQ34" s="12"/>
      <c r="AR34" s="14"/>
      <c r="AS34" s="14"/>
      <c r="AT34" s="13">
        <v>43489</v>
      </c>
      <c r="AU34" s="14"/>
    </row>
    <row r="35" spans="1:47" ht="18.75" x14ac:dyDescent="0.3">
      <c r="A35" s="12" t="s">
        <v>193</v>
      </c>
      <c r="B35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TK865079</v>
      </c>
      <c r="C35" s="12" t="s">
        <v>194</v>
      </c>
      <c r="D35" s="12" t="s">
        <v>195</v>
      </c>
      <c r="E35" s="12" t="s">
        <v>192</v>
      </c>
      <c r="F35" s="13">
        <v>43489</v>
      </c>
      <c r="G35" s="13">
        <v>43489</v>
      </c>
      <c r="H35" s="12" t="s">
        <v>36</v>
      </c>
      <c r="I35" s="13">
        <v>43648</v>
      </c>
      <c r="J35" s="12" t="s">
        <v>66</v>
      </c>
      <c r="K35" s="12" t="s">
        <v>34</v>
      </c>
      <c r="L35" s="14">
        <v>3</v>
      </c>
      <c r="M35" s="14">
        <v>34.5</v>
      </c>
      <c r="N35" s="14">
        <v>2</v>
      </c>
      <c r="O35" s="14"/>
      <c r="P35" s="14"/>
      <c r="Q35" s="12" t="s">
        <v>30</v>
      </c>
      <c r="R35" s="12" t="s">
        <v>30</v>
      </c>
      <c r="S35" s="12" t="s">
        <v>33</v>
      </c>
      <c r="T35" s="12" t="s">
        <v>1020</v>
      </c>
      <c r="U35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292759 RTV</v>
      </c>
      <c r="V35" s="12" t="s">
        <v>786</v>
      </c>
      <c r="W35" s="12" t="s">
        <v>762</v>
      </c>
      <c r="X35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35" s="12" t="s">
        <v>762</v>
      </c>
      <c r="Z35" s="12" t="s">
        <v>762</v>
      </c>
      <c r="AA35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35" s="12" t="s">
        <v>762</v>
      </c>
      <c r="AC35" s="12" t="s">
        <v>762</v>
      </c>
      <c r="AD35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35" s="12" t="s">
        <v>762</v>
      </c>
      <c r="AF35" s="12" t="s">
        <v>762</v>
      </c>
      <c r="AG35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35" s="12" t="s">
        <v>762</v>
      </c>
      <c r="AI35" s="12" t="s">
        <v>762</v>
      </c>
      <c r="AJ35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35" s="12" t="s">
        <v>762</v>
      </c>
      <c r="AL35" s="12"/>
      <c r="AM35" s="12"/>
      <c r="AN35" s="12"/>
      <c r="AO35" s="12" t="s">
        <v>66</v>
      </c>
      <c r="AP35" s="12"/>
      <c r="AQ35" s="12"/>
      <c r="AR35" s="14"/>
      <c r="AS35" s="14"/>
      <c r="AT35" s="13">
        <v>43489</v>
      </c>
      <c r="AU35" s="14" t="s">
        <v>1072</v>
      </c>
    </row>
    <row r="36" spans="1:47" ht="18.75" x14ac:dyDescent="0.3">
      <c r="A36" s="12" t="s">
        <v>189</v>
      </c>
      <c r="B36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TK864661</v>
      </c>
      <c r="C36" s="12" t="s">
        <v>190</v>
      </c>
      <c r="D36" s="12" t="s">
        <v>191</v>
      </c>
      <c r="E36" s="12" t="s">
        <v>192</v>
      </c>
      <c r="F36" s="13">
        <v>43489</v>
      </c>
      <c r="G36" s="13">
        <v>43489</v>
      </c>
      <c r="H36" s="12" t="s">
        <v>36</v>
      </c>
      <c r="I36" s="13">
        <v>43861</v>
      </c>
      <c r="J36" s="12" t="s">
        <v>66</v>
      </c>
      <c r="K36" s="12" t="s">
        <v>29</v>
      </c>
      <c r="L36" s="14">
        <v>3</v>
      </c>
      <c r="M36" s="14">
        <v>16.5</v>
      </c>
      <c r="N36" s="14">
        <v>2</v>
      </c>
      <c r="O36" s="14"/>
      <c r="P36" s="14"/>
      <c r="Q36" s="12" t="s">
        <v>30</v>
      </c>
      <c r="R36" s="12" t="s">
        <v>30</v>
      </c>
      <c r="S36" s="12" t="s">
        <v>33</v>
      </c>
      <c r="T36" s="12" t="s">
        <v>1020</v>
      </c>
      <c r="U36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292759 RTV</v>
      </c>
      <c r="V36" s="12" t="s">
        <v>786</v>
      </c>
      <c r="W36" s="12" t="s">
        <v>762</v>
      </c>
      <c r="X36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36" s="12" t="s">
        <v>762</v>
      </c>
      <c r="Z36" s="12" t="s">
        <v>762</v>
      </c>
      <c r="AA36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36" s="12" t="s">
        <v>762</v>
      </c>
      <c r="AC36" s="12" t="s">
        <v>762</v>
      </c>
      <c r="AD36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36" s="12" t="s">
        <v>762</v>
      </c>
      <c r="AF36" s="12" t="s">
        <v>762</v>
      </c>
      <c r="AG36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36" s="12" t="s">
        <v>762</v>
      </c>
      <c r="AI36" s="12" t="s">
        <v>762</v>
      </c>
      <c r="AJ36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36" s="12" t="s">
        <v>762</v>
      </c>
      <c r="AL36" s="12"/>
      <c r="AM36" s="12"/>
      <c r="AN36" s="12"/>
      <c r="AO36" s="12" t="s">
        <v>66</v>
      </c>
      <c r="AP36" s="12"/>
      <c r="AQ36" s="12"/>
      <c r="AR36" s="14"/>
      <c r="AS36" s="14"/>
      <c r="AT36" s="13">
        <v>43489</v>
      </c>
      <c r="AU36" s="14" t="s">
        <v>1072</v>
      </c>
    </row>
    <row r="37" spans="1:47" ht="18.75" x14ac:dyDescent="0.3">
      <c r="A37" s="12" t="s">
        <v>196</v>
      </c>
      <c r="B37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TK807185</v>
      </c>
      <c r="C37" s="12" t="s">
        <v>197</v>
      </c>
      <c r="D37" s="12" t="s">
        <v>198</v>
      </c>
      <c r="E37" s="12" t="s">
        <v>156</v>
      </c>
      <c r="F37" s="13">
        <v>43489</v>
      </c>
      <c r="G37" s="13">
        <v>43489</v>
      </c>
      <c r="H37" s="12" t="s">
        <v>36</v>
      </c>
      <c r="I37" s="13">
        <v>43831</v>
      </c>
      <c r="J37" s="12" t="s">
        <v>66</v>
      </c>
      <c r="K37" s="12" t="s">
        <v>34</v>
      </c>
      <c r="L37" s="14">
        <v>3</v>
      </c>
      <c r="M37" s="14">
        <v>34.5</v>
      </c>
      <c r="N37" s="14">
        <v>3</v>
      </c>
      <c r="O37" s="14"/>
      <c r="P37" s="14"/>
      <c r="Q37" s="12" t="s">
        <v>30</v>
      </c>
      <c r="R37" s="12" t="s">
        <v>30</v>
      </c>
      <c r="S37" s="12" t="s">
        <v>33</v>
      </c>
      <c r="T37" s="12" t="s">
        <v>1011</v>
      </c>
      <c r="U37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238076 Verified</v>
      </c>
      <c r="V37" s="12" t="s">
        <v>784</v>
      </c>
      <c r="W37" s="12" t="s">
        <v>762</v>
      </c>
      <c r="X37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37" s="12" t="s">
        <v>762</v>
      </c>
      <c r="Z37" s="12" t="s">
        <v>762</v>
      </c>
      <c r="AA37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37" s="12" t="s">
        <v>762</v>
      </c>
      <c r="AC37" s="12" t="s">
        <v>762</v>
      </c>
      <c r="AD37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37" s="12" t="s">
        <v>762</v>
      </c>
      <c r="AF37" s="12" t="s">
        <v>762</v>
      </c>
      <c r="AG37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37" s="12" t="s">
        <v>762</v>
      </c>
      <c r="AI37" s="12" t="s">
        <v>762</v>
      </c>
      <c r="AJ37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37" s="12" t="s">
        <v>762</v>
      </c>
      <c r="AL37" s="12"/>
      <c r="AM37" s="12"/>
      <c r="AN37" s="12"/>
      <c r="AO37" s="12" t="s">
        <v>66</v>
      </c>
      <c r="AP37" s="12" t="s">
        <v>66</v>
      </c>
      <c r="AQ37" s="12"/>
      <c r="AR37" s="14"/>
      <c r="AS37" s="14"/>
      <c r="AT37" s="13">
        <v>43489</v>
      </c>
      <c r="AU37" s="14"/>
    </row>
    <row r="38" spans="1:47" ht="18.75" x14ac:dyDescent="0.3">
      <c r="A38" s="12" t="s">
        <v>202</v>
      </c>
      <c r="B38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TK864632</v>
      </c>
      <c r="C38" s="12" t="s">
        <v>203</v>
      </c>
      <c r="D38" s="12" t="s">
        <v>204</v>
      </c>
      <c r="E38" s="12" t="s">
        <v>192</v>
      </c>
      <c r="F38" s="13">
        <v>43490</v>
      </c>
      <c r="G38" s="13">
        <v>43490</v>
      </c>
      <c r="H38" s="12" t="s">
        <v>36</v>
      </c>
      <c r="I38" s="13">
        <v>43648</v>
      </c>
      <c r="J38" s="12" t="s">
        <v>66</v>
      </c>
      <c r="K38" s="12" t="s">
        <v>34</v>
      </c>
      <c r="L38" s="14">
        <v>3</v>
      </c>
      <c r="M38" s="14">
        <v>34.5</v>
      </c>
      <c r="N38" s="14">
        <v>2</v>
      </c>
      <c r="O38" s="14"/>
      <c r="P38" s="14"/>
      <c r="Q38" s="12" t="s">
        <v>30</v>
      </c>
      <c r="R38" s="12" t="s">
        <v>30</v>
      </c>
      <c r="S38" s="12" t="s">
        <v>33</v>
      </c>
      <c r="T38" s="12" t="s">
        <v>1020</v>
      </c>
      <c r="U38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292759 RTV</v>
      </c>
      <c r="V38" s="12" t="s">
        <v>786</v>
      </c>
      <c r="W38" s="12" t="s">
        <v>762</v>
      </c>
      <c r="X38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38" s="12" t="s">
        <v>762</v>
      </c>
      <c r="Z38" s="12" t="s">
        <v>762</v>
      </c>
      <c r="AA38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38" s="12" t="s">
        <v>762</v>
      </c>
      <c r="AC38" s="12" t="s">
        <v>762</v>
      </c>
      <c r="AD38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38" s="12" t="s">
        <v>762</v>
      </c>
      <c r="AF38" s="12" t="s">
        <v>762</v>
      </c>
      <c r="AG38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38" s="12" t="s">
        <v>762</v>
      </c>
      <c r="AI38" s="12" t="s">
        <v>762</v>
      </c>
      <c r="AJ38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38" s="12" t="s">
        <v>762</v>
      </c>
      <c r="AL38" s="12"/>
      <c r="AM38" s="12"/>
      <c r="AN38" s="12"/>
      <c r="AO38" s="12" t="s">
        <v>66</v>
      </c>
      <c r="AP38" s="12"/>
      <c r="AQ38" s="12"/>
      <c r="AR38" s="14"/>
      <c r="AS38" s="14"/>
      <c r="AT38" s="13">
        <v>43489</v>
      </c>
      <c r="AU38" s="14" t="s">
        <v>1072</v>
      </c>
    </row>
    <row r="39" spans="1:47" ht="18.75" x14ac:dyDescent="0.3">
      <c r="A39" s="12" t="s">
        <v>205</v>
      </c>
      <c r="B39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TK864658</v>
      </c>
      <c r="C39" s="12" t="s">
        <v>206</v>
      </c>
      <c r="D39" s="12" t="s">
        <v>207</v>
      </c>
      <c r="E39" s="12" t="s">
        <v>192</v>
      </c>
      <c r="F39" s="13">
        <v>43490</v>
      </c>
      <c r="G39" s="13">
        <v>43490</v>
      </c>
      <c r="H39" s="12" t="s">
        <v>36</v>
      </c>
      <c r="I39" s="13">
        <v>43861</v>
      </c>
      <c r="J39" s="12" t="s">
        <v>66</v>
      </c>
      <c r="K39" s="12" t="s">
        <v>29</v>
      </c>
      <c r="L39" s="14">
        <v>3</v>
      </c>
      <c r="M39" s="14">
        <v>18</v>
      </c>
      <c r="N39" s="14">
        <v>2</v>
      </c>
      <c r="O39" s="14"/>
      <c r="P39" s="14"/>
      <c r="Q39" s="12" t="s">
        <v>30</v>
      </c>
      <c r="R39" s="12" t="s">
        <v>30</v>
      </c>
      <c r="S39" s="12" t="s">
        <v>33</v>
      </c>
      <c r="T39" s="12" t="s">
        <v>1020</v>
      </c>
      <c r="U39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292759 RTV</v>
      </c>
      <c r="V39" s="12" t="s">
        <v>786</v>
      </c>
      <c r="W39" s="12" t="s">
        <v>762</v>
      </c>
      <c r="X39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39" s="12" t="s">
        <v>762</v>
      </c>
      <c r="Z39" s="12" t="s">
        <v>762</v>
      </c>
      <c r="AA39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39" s="12" t="s">
        <v>762</v>
      </c>
      <c r="AC39" s="12" t="s">
        <v>762</v>
      </c>
      <c r="AD39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39" s="12" t="s">
        <v>762</v>
      </c>
      <c r="AF39" s="12" t="s">
        <v>762</v>
      </c>
      <c r="AG39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39" s="12" t="s">
        <v>762</v>
      </c>
      <c r="AI39" s="12" t="s">
        <v>762</v>
      </c>
      <c r="AJ39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39" s="12" t="s">
        <v>762</v>
      </c>
      <c r="AL39" s="12"/>
      <c r="AM39" s="12"/>
      <c r="AN39" s="12"/>
      <c r="AO39" s="12" t="s">
        <v>66</v>
      </c>
      <c r="AP39" s="12"/>
      <c r="AQ39" s="12"/>
      <c r="AR39" s="14"/>
      <c r="AS39" s="14"/>
      <c r="AT39" s="13">
        <v>43489</v>
      </c>
      <c r="AU39" s="14" t="s">
        <v>1072</v>
      </c>
    </row>
    <row r="40" spans="1:47" ht="18.75" x14ac:dyDescent="0.3">
      <c r="A40" s="12" t="s">
        <v>208</v>
      </c>
      <c r="B40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TK864605</v>
      </c>
      <c r="C40" s="12" t="s">
        <v>209</v>
      </c>
      <c r="D40" s="12" t="s">
        <v>210</v>
      </c>
      <c r="E40" s="12" t="s">
        <v>192</v>
      </c>
      <c r="F40" s="13">
        <v>43491</v>
      </c>
      <c r="G40" s="13">
        <v>43491</v>
      </c>
      <c r="H40" s="12" t="s">
        <v>36</v>
      </c>
      <c r="I40" s="13">
        <v>43648</v>
      </c>
      <c r="J40" s="12" t="s">
        <v>66</v>
      </c>
      <c r="K40" s="12" t="s">
        <v>29</v>
      </c>
      <c r="L40" s="14">
        <v>3</v>
      </c>
      <c r="M40" s="14">
        <v>34.5</v>
      </c>
      <c r="N40" s="14">
        <v>2</v>
      </c>
      <c r="O40" s="14"/>
      <c r="P40" s="14"/>
      <c r="Q40" s="12" t="s">
        <v>30</v>
      </c>
      <c r="R40" s="12" t="s">
        <v>30</v>
      </c>
      <c r="S40" s="12" t="s">
        <v>33</v>
      </c>
      <c r="T40" s="12" t="s">
        <v>1020</v>
      </c>
      <c r="U40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292759 RTV</v>
      </c>
      <c r="V40" s="12" t="s">
        <v>786</v>
      </c>
      <c r="W40" s="12" t="s">
        <v>762</v>
      </c>
      <c r="X40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40" s="12" t="s">
        <v>762</v>
      </c>
      <c r="Z40" s="12" t="s">
        <v>762</v>
      </c>
      <c r="AA40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40" s="12" t="s">
        <v>762</v>
      </c>
      <c r="AC40" s="12" t="s">
        <v>762</v>
      </c>
      <c r="AD40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40" s="12" t="s">
        <v>762</v>
      </c>
      <c r="AF40" s="12" t="s">
        <v>762</v>
      </c>
      <c r="AG40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40" s="12" t="s">
        <v>762</v>
      </c>
      <c r="AI40" s="12" t="s">
        <v>762</v>
      </c>
      <c r="AJ40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40" s="12" t="s">
        <v>762</v>
      </c>
      <c r="AL40" s="12"/>
      <c r="AM40" s="12"/>
      <c r="AN40" s="12"/>
      <c r="AO40" s="12" t="s">
        <v>66</v>
      </c>
      <c r="AP40" s="12"/>
      <c r="AQ40" s="12"/>
      <c r="AR40" s="14"/>
      <c r="AS40" s="14"/>
      <c r="AT40" s="13">
        <v>43489</v>
      </c>
      <c r="AU40" s="14" t="s">
        <v>1072</v>
      </c>
    </row>
    <row r="41" spans="1:47" ht="18.75" x14ac:dyDescent="0.3">
      <c r="A41" s="12" t="s">
        <v>211</v>
      </c>
      <c r="B41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TK864649</v>
      </c>
      <c r="C41" s="12" t="s">
        <v>212</v>
      </c>
      <c r="D41" s="12" t="s">
        <v>213</v>
      </c>
      <c r="E41" s="12" t="s">
        <v>192</v>
      </c>
      <c r="F41" s="13">
        <v>43492</v>
      </c>
      <c r="G41" s="13">
        <v>43492</v>
      </c>
      <c r="H41" s="12" t="s">
        <v>36</v>
      </c>
      <c r="I41" s="13">
        <v>43648</v>
      </c>
      <c r="J41" s="12" t="s">
        <v>66</v>
      </c>
      <c r="K41" s="12" t="s">
        <v>34</v>
      </c>
      <c r="L41" s="14">
        <v>3</v>
      </c>
      <c r="M41" s="14">
        <v>18</v>
      </c>
      <c r="N41" s="14">
        <v>2</v>
      </c>
      <c r="O41" s="14"/>
      <c r="P41" s="14"/>
      <c r="Q41" s="12" t="s">
        <v>30</v>
      </c>
      <c r="R41" s="12" t="s">
        <v>30</v>
      </c>
      <c r="S41" s="12" t="s">
        <v>33</v>
      </c>
      <c r="T41" s="12" t="s">
        <v>1020</v>
      </c>
      <c r="U41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292759 RTV</v>
      </c>
      <c r="V41" s="12" t="s">
        <v>786</v>
      </c>
      <c r="W41" s="12" t="s">
        <v>762</v>
      </c>
      <c r="X41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41" s="12" t="s">
        <v>762</v>
      </c>
      <c r="Z41" s="12" t="s">
        <v>762</v>
      </c>
      <c r="AA41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41" s="12" t="s">
        <v>762</v>
      </c>
      <c r="AC41" s="12" t="s">
        <v>762</v>
      </c>
      <c r="AD41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41" s="12" t="s">
        <v>762</v>
      </c>
      <c r="AF41" s="12" t="s">
        <v>762</v>
      </c>
      <c r="AG41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41" s="12" t="s">
        <v>762</v>
      </c>
      <c r="AI41" s="12" t="s">
        <v>762</v>
      </c>
      <c r="AJ41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41" s="12" t="s">
        <v>762</v>
      </c>
      <c r="AL41" s="12"/>
      <c r="AM41" s="12"/>
      <c r="AN41" s="12"/>
      <c r="AO41" s="12" t="s">
        <v>66</v>
      </c>
      <c r="AP41" s="12"/>
      <c r="AQ41" s="12"/>
      <c r="AR41" s="14"/>
      <c r="AS41" s="14"/>
      <c r="AT41" s="13">
        <v>43489</v>
      </c>
      <c r="AU41" s="14" t="s">
        <v>1072</v>
      </c>
    </row>
    <row r="42" spans="1:47" ht="18.75" x14ac:dyDescent="0.3">
      <c r="A42" s="12" t="s">
        <v>214</v>
      </c>
      <c r="B42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TK864664</v>
      </c>
      <c r="C42" s="12" t="s">
        <v>215</v>
      </c>
      <c r="D42" s="12" t="s">
        <v>216</v>
      </c>
      <c r="E42" s="12" t="s">
        <v>192</v>
      </c>
      <c r="F42" s="13">
        <v>43492</v>
      </c>
      <c r="G42" s="13">
        <v>43492</v>
      </c>
      <c r="H42" s="12" t="s">
        <v>36</v>
      </c>
      <c r="I42" s="13">
        <v>43715</v>
      </c>
      <c r="J42" s="12" t="s">
        <v>66</v>
      </c>
      <c r="K42" s="12" t="s">
        <v>29</v>
      </c>
      <c r="L42" s="14">
        <v>3</v>
      </c>
      <c r="M42" s="14">
        <v>16.5</v>
      </c>
      <c r="N42" s="14">
        <v>2</v>
      </c>
      <c r="O42" s="14"/>
      <c r="P42" s="14"/>
      <c r="Q42" s="12" t="s">
        <v>30</v>
      </c>
      <c r="R42" s="12" t="s">
        <v>30</v>
      </c>
      <c r="S42" s="12" t="s">
        <v>33</v>
      </c>
      <c r="T42" s="12" t="s">
        <v>1020</v>
      </c>
      <c r="U42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292759 RTV</v>
      </c>
      <c r="V42" s="12" t="s">
        <v>786</v>
      </c>
      <c r="W42" s="12" t="s">
        <v>762</v>
      </c>
      <c r="X42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42" s="12" t="s">
        <v>762</v>
      </c>
      <c r="Z42" s="12" t="s">
        <v>762</v>
      </c>
      <c r="AA42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42" s="12" t="s">
        <v>762</v>
      </c>
      <c r="AC42" s="12" t="s">
        <v>762</v>
      </c>
      <c r="AD42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42" s="12" t="s">
        <v>762</v>
      </c>
      <c r="AF42" s="12" t="s">
        <v>762</v>
      </c>
      <c r="AG42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42" s="12" t="s">
        <v>762</v>
      </c>
      <c r="AI42" s="12" t="s">
        <v>762</v>
      </c>
      <c r="AJ42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42" s="12" t="s">
        <v>762</v>
      </c>
      <c r="AL42" s="12"/>
      <c r="AM42" s="12"/>
      <c r="AN42" s="12"/>
      <c r="AO42" s="12" t="s">
        <v>66</v>
      </c>
      <c r="AP42" s="12"/>
      <c r="AQ42" s="12"/>
      <c r="AR42" s="14"/>
      <c r="AS42" s="14"/>
      <c r="AT42" s="13">
        <v>43489</v>
      </c>
      <c r="AU42" s="14" t="s">
        <v>1072</v>
      </c>
    </row>
    <row r="43" spans="1:47" ht="18.75" x14ac:dyDescent="0.3">
      <c r="A43" s="12" t="s">
        <v>217</v>
      </c>
      <c r="B43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TK832735</v>
      </c>
      <c r="C43" s="12" t="s">
        <v>218</v>
      </c>
      <c r="D43" s="12" t="s">
        <v>219</v>
      </c>
      <c r="E43" s="12" t="s">
        <v>220</v>
      </c>
      <c r="F43" s="13">
        <v>43493</v>
      </c>
      <c r="G43" s="13">
        <v>43493</v>
      </c>
      <c r="H43" s="12" t="s">
        <v>36</v>
      </c>
      <c r="I43" s="13">
        <v>43556</v>
      </c>
      <c r="J43" s="12" t="s">
        <v>66</v>
      </c>
      <c r="K43" s="12" t="s">
        <v>29</v>
      </c>
      <c r="L43" s="14">
        <v>3</v>
      </c>
      <c r="M43" s="14">
        <v>18</v>
      </c>
      <c r="N43" s="14">
        <v>3</v>
      </c>
      <c r="O43" s="14"/>
      <c r="P43" s="14"/>
      <c r="Q43" s="12" t="s">
        <v>42</v>
      </c>
      <c r="R43" s="12" t="s">
        <v>30</v>
      </c>
      <c r="S43" s="12" t="s">
        <v>33</v>
      </c>
      <c r="T43" s="12" t="s">
        <v>1021</v>
      </c>
      <c r="U43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272861 Verified</v>
      </c>
      <c r="V43" s="12" t="s">
        <v>785</v>
      </c>
      <c r="W43" s="12" t="s">
        <v>762</v>
      </c>
      <c r="X43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43" s="12" t="s">
        <v>762</v>
      </c>
      <c r="Z43" s="12" t="s">
        <v>762</v>
      </c>
      <c r="AA43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43" s="12" t="s">
        <v>762</v>
      </c>
      <c r="AC43" s="12" t="s">
        <v>762</v>
      </c>
      <c r="AD43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43" s="12" t="s">
        <v>762</v>
      </c>
      <c r="AF43" s="12" t="s">
        <v>762</v>
      </c>
      <c r="AG43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43" s="12" t="s">
        <v>762</v>
      </c>
      <c r="AI43" s="12" t="s">
        <v>762</v>
      </c>
      <c r="AJ43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43" s="12" t="s">
        <v>762</v>
      </c>
      <c r="AL43" s="12"/>
      <c r="AM43" s="12"/>
      <c r="AN43" s="12"/>
      <c r="AO43" s="12" t="s">
        <v>66</v>
      </c>
      <c r="AP43" s="12"/>
      <c r="AQ43" s="12"/>
      <c r="AR43" s="14"/>
      <c r="AS43" s="14"/>
      <c r="AT43" s="13">
        <v>43489</v>
      </c>
      <c r="AU43" s="14"/>
    </row>
    <row r="44" spans="1:47" ht="18.75" x14ac:dyDescent="0.3">
      <c r="A44" s="12" t="s">
        <v>640</v>
      </c>
      <c r="B44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TK862604</v>
      </c>
      <c r="C44" s="12" t="s">
        <v>641</v>
      </c>
      <c r="D44" s="12" t="s">
        <v>642</v>
      </c>
      <c r="E44" s="12" t="s">
        <v>643</v>
      </c>
      <c r="F44" s="13">
        <v>43493</v>
      </c>
      <c r="G44" s="13">
        <v>43493</v>
      </c>
      <c r="H44" s="12" t="s">
        <v>36</v>
      </c>
      <c r="I44" s="13">
        <v>43525</v>
      </c>
      <c r="J44" s="12" t="s">
        <v>66</v>
      </c>
      <c r="K44" s="12" t="s">
        <v>34</v>
      </c>
      <c r="L44" s="14">
        <v>3</v>
      </c>
      <c r="M44" s="14">
        <v>34.5</v>
      </c>
      <c r="N44" s="14">
        <v>4</v>
      </c>
      <c r="O44" s="14"/>
      <c r="P44" s="14"/>
      <c r="Q44" s="12" t="s">
        <v>30</v>
      </c>
      <c r="R44" s="12" t="s">
        <v>30</v>
      </c>
      <c r="S44" s="12" t="s">
        <v>37</v>
      </c>
      <c r="T44" s="12" t="s">
        <v>1022</v>
      </c>
      <c r="U44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293631 Verified</v>
      </c>
      <c r="V44" s="12" t="s">
        <v>784</v>
      </c>
      <c r="W44" s="12" t="s">
        <v>762</v>
      </c>
      <c r="X44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44" s="12" t="s">
        <v>762</v>
      </c>
      <c r="Z44" s="12" t="s">
        <v>762</v>
      </c>
      <c r="AA44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44" s="12" t="s">
        <v>762</v>
      </c>
      <c r="AC44" s="12" t="s">
        <v>762</v>
      </c>
      <c r="AD44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44" s="12" t="s">
        <v>762</v>
      </c>
      <c r="AF44" s="12" t="s">
        <v>762</v>
      </c>
      <c r="AG44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44" s="12" t="s">
        <v>762</v>
      </c>
      <c r="AI44" s="12" t="s">
        <v>762</v>
      </c>
      <c r="AJ44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44" s="12" t="s">
        <v>762</v>
      </c>
      <c r="AL44" s="12" t="s">
        <v>644</v>
      </c>
      <c r="AM44" s="12" t="s">
        <v>39</v>
      </c>
      <c r="AN44" s="12"/>
      <c r="AO44" s="12" t="s">
        <v>66</v>
      </c>
      <c r="AP44" s="12" t="s">
        <v>66</v>
      </c>
      <c r="AQ44" s="12"/>
      <c r="AR44" s="14"/>
      <c r="AS44" s="14"/>
      <c r="AT44" s="13">
        <v>43489</v>
      </c>
      <c r="AU44" s="14"/>
    </row>
    <row r="45" spans="1:47" ht="18.75" x14ac:dyDescent="0.3">
      <c r="A45" s="12" t="s">
        <v>221</v>
      </c>
      <c r="B45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TK832737</v>
      </c>
      <c r="C45" s="12" t="s">
        <v>222</v>
      </c>
      <c r="D45" s="12" t="s">
        <v>223</v>
      </c>
      <c r="E45" s="12" t="s">
        <v>220</v>
      </c>
      <c r="F45" s="13">
        <v>43494</v>
      </c>
      <c r="G45" s="13">
        <v>43494</v>
      </c>
      <c r="H45" s="12" t="s">
        <v>36</v>
      </c>
      <c r="I45" s="13">
        <v>43497</v>
      </c>
      <c r="J45" s="12" t="s">
        <v>66</v>
      </c>
      <c r="K45" s="12" t="s">
        <v>34</v>
      </c>
      <c r="L45" s="14">
        <v>3</v>
      </c>
      <c r="M45" s="14">
        <v>15</v>
      </c>
      <c r="N45" s="14">
        <v>3</v>
      </c>
      <c r="O45" s="14"/>
      <c r="P45" s="14"/>
      <c r="Q45" s="12" t="s">
        <v>30</v>
      </c>
      <c r="R45" s="12" t="s">
        <v>30</v>
      </c>
      <c r="S45" s="12" t="s">
        <v>33</v>
      </c>
      <c r="T45" s="12" t="s">
        <v>1007</v>
      </c>
      <c r="U45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261307 Verified</v>
      </c>
      <c r="V45" s="12" t="s">
        <v>784</v>
      </c>
      <c r="W45" s="12" t="s">
        <v>762</v>
      </c>
      <c r="X45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45" s="12" t="s">
        <v>762</v>
      </c>
      <c r="Z45" s="12" t="s">
        <v>762</v>
      </c>
      <c r="AA45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45" s="12" t="s">
        <v>762</v>
      </c>
      <c r="AC45" s="12" t="s">
        <v>762</v>
      </c>
      <c r="AD45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45" s="12" t="s">
        <v>762</v>
      </c>
      <c r="AF45" s="12" t="s">
        <v>762</v>
      </c>
      <c r="AG45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45" s="12" t="s">
        <v>762</v>
      </c>
      <c r="AI45" s="12" t="s">
        <v>762</v>
      </c>
      <c r="AJ45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45" s="12" t="s">
        <v>762</v>
      </c>
      <c r="AL45" s="12"/>
      <c r="AM45" s="12"/>
      <c r="AN45" s="12"/>
      <c r="AO45" s="12" t="s">
        <v>66</v>
      </c>
      <c r="AP45" s="12" t="s">
        <v>66</v>
      </c>
      <c r="AQ45" s="12"/>
      <c r="AR45" s="14"/>
      <c r="AS45" s="14"/>
      <c r="AT45" s="13">
        <v>43489</v>
      </c>
      <c r="AU45" s="14"/>
    </row>
    <row r="46" spans="1:47" ht="18.75" x14ac:dyDescent="0.3">
      <c r="A46" s="12" t="s">
        <v>645</v>
      </c>
      <c r="B46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TK862670</v>
      </c>
      <c r="C46" s="12" t="s">
        <v>646</v>
      </c>
      <c r="D46" s="12" t="s">
        <v>647</v>
      </c>
      <c r="E46" s="12" t="s">
        <v>643</v>
      </c>
      <c r="F46" s="13">
        <v>43494</v>
      </c>
      <c r="G46" s="13">
        <v>43494</v>
      </c>
      <c r="H46" s="12" t="s">
        <v>36</v>
      </c>
      <c r="I46" s="13">
        <v>43525</v>
      </c>
      <c r="J46" s="12" t="s">
        <v>66</v>
      </c>
      <c r="K46" s="12" t="s">
        <v>29</v>
      </c>
      <c r="L46" s="14">
        <v>3</v>
      </c>
      <c r="M46" s="14">
        <v>34.5</v>
      </c>
      <c r="N46" s="14">
        <v>4</v>
      </c>
      <c r="O46" s="14"/>
      <c r="P46" s="14"/>
      <c r="Q46" s="12" t="s">
        <v>30</v>
      </c>
      <c r="R46" s="12" t="s">
        <v>30</v>
      </c>
      <c r="S46" s="12" t="s">
        <v>33</v>
      </c>
      <c r="T46" s="12" t="s">
        <v>1023</v>
      </c>
      <c r="U46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293612 Verified</v>
      </c>
      <c r="V46" s="12" t="s">
        <v>784</v>
      </c>
      <c r="W46" s="12" t="s">
        <v>762</v>
      </c>
      <c r="X46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46" s="12" t="s">
        <v>762</v>
      </c>
      <c r="Z46" s="12" t="s">
        <v>762</v>
      </c>
      <c r="AA46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46" s="12" t="s">
        <v>762</v>
      </c>
      <c r="AC46" s="12" t="s">
        <v>762</v>
      </c>
      <c r="AD46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46" s="12" t="s">
        <v>762</v>
      </c>
      <c r="AF46" s="12" t="s">
        <v>762</v>
      </c>
      <c r="AG46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46" s="12" t="s">
        <v>762</v>
      </c>
      <c r="AI46" s="12" t="s">
        <v>762</v>
      </c>
      <c r="AJ46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46" s="12" t="s">
        <v>762</v>
      </c>
      <c r="AL46" s="12" t="s">
        <v>644</v>
      </c>
      <c r="AM46" s="12" t="s">
        <v>39</v>
      </c>
      <c r="AN46" s="12"/>
      <c r="AO46" s="12" t="s">
        <v>66</v>
      </c>
      <c r="AP46" s="12" t="s">
        <v>66</v>
      </c>
      <c r="AQ46" s="12"/>
      <c r="AR46" s="14"/>
      <c r="AS46" s="14"/>
      <c r="AT46" s="13">
        <v>43489</v>
      </c>
      <c r="AU46" s="14"/>
    </row>
    <row r="47" spans="1:47" ht="18.75" x14ac:dyDescent="0.3">
      <c r="A47" s="12"/>
      <c r="B47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1/31/2019</v>
      </c>
      <c r="C47" s="12" t="s">
        <v>50</v>
      </c>
      <c r="D47" s="12"/>
      <c r="E47" s="12"/>
      <c r="F47" s="13"/>
      <c r="G47" s="13"/>
      <c r="H47" s="12"/>
      <c r="I47" s="13"/>
      <c r="J47" s="12"/>
      <c r="K47" s="12"/>
      <c r="L47" s="14"/>
      <c r="M47" s="14"/>
      <c r="N47" s="14"/>
      <c r="O47" s="14"/>
      <c r="P47" s="14"/>
      <c r="Q47" s="12"/>
      <c r="R47" s="12"/>
      <c r="S47" s="12"/>
      <c r="T47" s="12" t="s">
        <v>762</v>
      </c>
      <c r="U47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47" s="12" t="s">
        <v>762</v>
      </c>
      <c r="W47" s="12" t="s">
        <v>762</v>
      </c>
      <c r="X47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47" s="12" t="s">
        <v>762</v>
      </c>
      <c r="Z47" s="12" t="s">
        <v>762</v>
      </c>
      <c r="AA47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47" s="12" t="s">
        <v>762</v>
      </c>
      <c r="AC47" s="12" t="s">
        <v>762</v>
      </c>
      <c r="AD47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47" s="12" t="s">
        <v>762</v>
      </c>
      <c r="AF47" s="12" t="s">
        <v>762</v>
      </c>
      <c r="AG47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47" s="12" t="s">
        <v>762</v>
      </c>
      <c r="AI47" s="12" t="s">
        <v>762</v>
      </c>
      <c r="AJ47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47" s="12" t="s">
        <v>762</v>
      </c>
      <c r="AL47" s="12"/>
      <c r="AM47" s="12"/>
      <c r="AN47" s="12"/>
      <c r="AO47" s="12"/>
      <c r="AP47" s="12"/>
      <c r="AQ47" s="12"/>
      <c r="AR47" s="14"/>
      <c r="AS47" s="14"/>
      <c r="AT47" s="13">
        <v>43496</v>
      </c>
      <c r="AU47" s="14"/>
    </row>
    <row r="48" spans="1:47" ht="18.75" x14ac:dyDescent="0.3">
      <c r="A48" s="12" t="s">
        <v>230</v>
      </c>
      <c r="B48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TK835569</v>
      </c>
      <c r="C48" s="12" t="s">
        <v>231</v>
      </c>
      <c r="D48" s="12" t="s">
        <v>232</v>
      </c>
      <c r="E48" s="12" t="s">
        <v>233</v>
      </c>
      <c r="F48" s="13">
        <v>43497</v>
      </c>
      <c r="G48" s="13">
        <v>43497</v>
      </c>
      <c r="H48" s="12" t="s">
        <v>36</v>
      </c>
      <c r="I48" s="13">
        <v>43547</v>
      </c>
      <c r="J48" s="12" t="s">
        <v>66</v>
      </c>
      <c r="K48" s="12" t="s">
        <v>34</v>
      </c>
      <c r="L48" s="14">
        <v>3</v>
      </c>
      <c r="M48" s="14">
        <v>18</v>
      </c>
      <c r="N48" s="14">
        <v>3</v>
      </c>
      <c r="O48" s="14"/>
      <c r="P48" s="14"/>
      <c r="Q48" s="12" t="s">
        <v>30</v>
      </c>
      <c r="R48" s="12" t="s">
        <v>30</v>
      </c>
      <c r="S48" s="12" t="s">
        <v>33</v>
      </c>
      <c r="T48" s="12" t="s">
        <v>1024</v>
      </c>
      <c r="U48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295878 Verified</v>
      </c>
      <c r="V48" s="12" t="s">
        <v>784</v>
      </c>
      <c r="W48" s="12" t="s">
        <v>762</v>
      </c>
      <c r="X48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48" s="12" t="s">
        <v>762</v>
      </c>
      <c r="Z48" s="12" t="s">
        <v>762</v>
      </c>
      <c r="AA48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48" s="12" t="s">
        <v>762</v>
      </c>
      <c r="AC48" s="12" t="s">
        <v>762</v>
      </c>
      <c r="AD48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48" s="12" t="s">
        <v>762</v>
      </c>
      <c r="AF48" s="12" t="s">
        <v>762</v>
      </c>
      <c r="AG48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48" s="12" t="s">
        <v>762</v>
      </c>
      <c r="AI48" s="12" t="s">
        <v>762</v>
      </c>
      <c r="AJ48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48" s="12" t="s">
        <v>762</v>
      </c>
      <c r="AL48" s="12"/>
      <c r="AM48" s="12"/>
      <c r="AN48" s="12"/>
      <c r="AO48" s="12" t="s">
        <v>66</v>
      </c>
      <c r="AP48" s="12" t="s">
        <v>66</v>
      </c>
      <c r="AQ48" s="12"/>
      <c r="AR48" s="14"/>
      <c r="AS48" s="14"/>
      <c r="AT48" s="13">
        <v>43496</v>
      </c>
      <c r="AU48" s="14"/>
    </row>
    <row r="49" spans="1:47" ht="18.75" x14ac:dyDescent="0.3">
      <c r="A49" s="12" t="s">
        <v>237</v>
      </c>
      <c r="B49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TK835042</v>
      </c>
      <c r="C49" s="12" t="s">
        <v>238</v>
      </c>
      <c r="D49" s="12" t="s">
        <v>239</v>
      </c>
      <c r="E49" s="12" t="s">
        <v>233</v>
      </c>
      <c r="F49" s="13">
        <v>43498</v>
      </c>
      <c r="G49" s="13">
        <v>43498</v>
      </c>
      <c r="H49" s="12" t="s">
        <v>36</v>
      </c>
      <c r="I49" s="13">
        <v>43553</v>
      </c>
      <c r="J49" s="12" t="s">
        <v>66</v>
      </c>
      <c r="K49" s="12" t="s">
        <v>29</v>
      </c>
      <c r="L49" s="14">
        <v>3</v>
      </c>
      <c r="M49" s="14">
        <v>30</v>
      </c>
      <c r="N49" s="14">
        <v>3</v>
      </c>
      <c r="O49" s="14"/>
      <c r="P49" s="14"/>
      <c r="Q49" s="12" t="s">
        <v>30</v>
      </c>
      <c r="R49" s="12" t="s">
        <v>30</v>
      </c>
      <c r="S49" s="12" t="s">
        <v>33</v>
      </c>
      <c r="T49" s="12" t="s">
        <v>1025</v>
      </c>
      <c r="U49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296100 Verified</v>
      </c>
      <c r="V49" s="12" t="s">
        <v>784</v>
      </c>
      <c r="W49" s="12" t="s">
        <v>762</v>
      </c>
      <c r="X49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49" s="12" t="s">
        <v>762</v>
      </c>
      <c r="Z49" s="12" t="s">
        <v>762</v>
      </c>
      <c r="AA49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49" s="12" t="s">
        <v>762</v>
      </c>
      <c r="AC49" s="12" t="s">
        <v>762</v>
      </c>
      <c r="AD49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49" s="12" t="s">
        <v>762</v>
      </c>
      <c r="AF49" s="12" t="s">
        <v>762</v>
      </c>
      <c r="AG49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49" s="12" t="s">
        <v>762</v>
      </c>
      <c r="AI49" s="12" t="s">
        <v>762</v>
      </c>
      <c r="AJ49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49" s="12" t="s">
        <v>762</v>
      </c>
      <c r="AL49" s="12" t="s">
        <v>845</v>
      </c>
      <c r="AM49" s="12" t="s">
        <v>45</v>
      </c>
      <c r="AN49" s="12"/>
      <c r="AO49" s="12" t="s">
        <v>66</v>
      </c>
      <c r="AP49" s="12" t="s">
        <v>66</v>
      </c>
      <c r="AQ49" s="12"/>
      <c r="AR49" s="14"/>
      <c r="AS49" s="14"/>
      <c r="AT49" s="13">
        <v>43496</v>
      </c>
      <c r="AU49" s="14"/>
    </row>
    <row r="50" spans="1:47" ht="18.75" x14ac:dyDescent="0.3">
      <c r="A50" s="12" t="s">
        <v>249</v>
      </c>
      <c r="B50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TK835573</v>
      </c>
      <c r="C50" s="12" t="s">
        <v>250</v>
      </c>
      <c r="D50" s="12" t="s">
        <v>251</v>
      </c>
      <c r="E50" s="12" t="s">
        <v>233</v>
      </c>
      <c r="F50" s="13">
        <v>43501</v>
      </c>
      <c r="G50" s="13">
        <v>43501</v>
      </c>
      <c r="H50" s="12" t="s">
        <v>36</v>
      </c>
      <c r="I50" s="13">
        <v>43547</v>
      </c>
      <c r="J50" s="12" t="s">
        <v>66</v>
      </c>
      <c r="K50" s="12" t="s">
        <v>34</v>
      </c>
      <c r="L50" s="14">
        <v>3</v>
      </c>
      <c r="M50" s="14">
        <v>18</v>
      </c>
      <c r="N50" s="14">
        <v>3</v>
      </c>
      <c r="O50" s="14"/>
      <c r="P50" s="14"/>
      <c r="Q50" s="12" t="s">
        <v>30</v>
      </c>
      <c r="R50" s="12" t="s">
        <v>30</v>
      </c>
      <c r="S50" s="12" t="s">
        <v>33</v>
      </c>
      <c r="T50" s="12" t="s">
        <v>1024</v>
      </c>
      <c r="U50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295878 Verified</v>
      </c>
      <c r="V50" s="12" t="s">
        <v>784</v>
      </c>
      <c r="W50" s="12" t="s">
        <v>762</v>
      </c>
      <c r="X50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50" s="12" t="s">
        <v>762</v>
      </c>
      <c r="Z50" s="12" t="s">
        <v>762</v>
      </c>
      <c r="AA50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50" s="12" t="s">
        <v>762</v>
      </c>
      <c r="AC50" s="12" t="s">
        <v>762</v>
      </c>
      <c r="AD50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50" s="12" t="s">
        <v>762</v>
      </c>
      <c r="AF50" s="12" t="s">
        <v>762</v>
      </c>
      <c r="AG50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50" s="12" t="s">
        <v>762</v>
      </c>
      <c r="AI50" s="12" t="s">
        <v>762</v>
      </c>
      <c r="AJ50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50" s="12" t="s">
        <v>762</v>
      </c>
      <c r="AL50" s="12"/>
      <c r="AM50" s="12"/>
      <c r="AN50" s="12"/>
      <c r="AO50" s="12" t="s">
        <v>66</v>
      </c>
      <c r="AP50" s="12" t="s">
        <v>66</v>
      </c>
      <c r="AQ50" s="12"/>
      <c r="AR50" s="14"/>
      <c r="AS50" s="14"/>
      <c r="AT50" s="13">
        <v>43496</v>
      </c>
      <c r="AU50" s="14"/>
    </row>
    <row r="51" spans="1:47" ht="18.75" x14ac:dyDescent="0.3">
      <c r="A51" s="12"/>
      <c r="B51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2/7/2019</v>
      </c>
      <c r="C51" s="12" t="s">
        <v>52</v>
      </c>
      <c r="D51" s="12"/>
      <c r="E51" s="12"/>
      <c r="F51" s="13"/>
      <c r="G51" s="13"/>
      <c r="H51" s="12"/>
      <c r="I51" s="13"/>
      <c r="J51" s="12"/>
      <c r="K51" s="12"/>
      <c r="L51" s="14"/>
      <c r="M51" s="14"/>
      <c r="N51" s="14"/>
      <c r="O51" s="14"/>
      <c r="P51" s="14"/>
      <c r="Q51" s="12"/>
      <c r="R51" s="12"/>
      <c r="S51" s="12"/>
      <c r="T51" s="12" t="s">
        <v>762</v>
      </c>
      <c r="U51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51" s="12" t="s">
        <v>762</v>
      </c>
      <c r="W51" s="12" t="s">
        <v>762</v>
      </c>
      <c r="X51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51" s="12" t="s">
        <v>762</v>
      </c>
      <c r="Z51" s="12" t="s">
        <v>762</v>
      </c>
      <c r="AA51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51" s="12" t="s">
        <v>762</v>
      </c>
      <c r="AC51" s="12" t="s">
        <v>762</v>
      </c>
      <c r="AD51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51" s="12" t="s">
        <v>762</v>
      </c>
      <c r="AF51" s="12" t="s">
        <v>762</v>
      </c>
      <c r="AG51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51" s="12" t="s">
        <v>762</v>
      </c>
      <c r="AI51" s="12" t="s">
        <v>762</v>
      </c>
      <c r="AJ51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51" s="12" t="s">
        <v>762</v>
      </c>
      <c r="AL51" s="12"/>
      <c r="AM51" s="12"/>
      <c r="AN51" s="12"/>
      <c r="AO51" s="12"/>
      <c r="AP51" s="12"/>
      <c r="AQ51" s="12"/>
      <c r="AR51" s="14"/>
      <c r="AS51" s="14"/>
      <c r="AT51" s="13">
        <v>43503</v>
      </c>
      <c r="AU51" s="14"/>
    </row>
    <row r="52" spans="1:47" ht="18.75" x14ac:dyDescent="0.3">
      <c r="A52" s="12" t="s">
        <v>795</v>
      </c>
      <c r="B52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TK866349</v>
      </c>
      <c r="C52" s="12" t="s">
        <v>796</v>
      </c>
      <c r="D52" s="12" t="s">
        <v>797</v>
      </c>
      <c r="E52" s="12" t="s">
        <v>798</v>
      </c>
      <c r="F52" s="13">
        <v>43503</v>
      </c>
      <c r="G52" s="13">
        <v>43503</v>
      </c>
      <c r="H52" s="12" t="s">
        <v>36</v>
      </c>
      <c r="I52" s="13">
        <v>43525</v>
      </c>
      <c r="J52" s="12" t="s">
        <v>66</v>
      </c>
      <c r="K52" s="12" t="s">
        <v>34</v>
      </c>
      <c r="L52" s="14">
        <v>3</v>
      </c>
      <c r="M52" s="14">
        <v>34.5</v>
      </c>
      <c r="N52" s="14">
        <v>3</v>
      </c>
      <c r="O52" s="14"/>
      <c r="P52" s="14"/>
      <c r="Q52" s="12" t="s">
        <v>30</v>
      </c>
      <c r="R52" s="12" t="s">
        <v>30</v>
      </c>
      <c r="S52" s="12" t="s">
        <v>33</v>
      </c>
      <c r="T52" s="12" t="s">
        <v>762</v>
      </c>
      <c r="U52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52" s="12" t="s">
        <v>762</v>
      </c>
      <c r="W52" s="12" t="s">
        <v>762</v>
      </c>
      <c r="X52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52" s="12" t="s">
        <v>762</v>
      </c>
      <c r="Z52" s="12" t="s">
        <v>762</v>
      </c>
      <c r="AA52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52" s="12" t="s">
        <v>762</v>
      </c>
      <c r="AC52" s="12" t="s">
        <v>762</v>
      </c>
      <c r="AD52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52" s="12" t="s">
        <v>762</v>
      </c>
      <c r="AF52" s="12" t="s">
        <v>762</v>
      </c>
      <c r="AG52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52" s="12" t="s">
        <v>762</v>
      </c>
      <c r="AI52" s="12" t="s">
        <v>762</v>
      </c>
      <c r="AJ52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52" s="12" t="s">
        <v>762</v>
      </c>
      <c r="AL52" s="12"/>
      <c r="AM52" s="12"/>
      <c r="AN52" s="12"/>
      <c r="AO52" s="12" t="s">
        <v>66</v>
      </c>
      <c r="AP52" s="12"/>
      <c r="AQ52" s="12"/>
      <c r="AR52" s="14"/>
      <c r="AS52" s="14"/>
      <c r="AT52" s="13">
        <v>43503</v>
      </c>
      <c r="AU52" s="14" t="s">
        <v>1076</v>
      </c>
    </row>
    <row r="53" spans="1:47" ht="18.75" x14ac:dyDescent="0.3">
      <c r="A53" s="12" t="s">
        <v>859</v>
      </c>
      <c r="B53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TK860664</v>
      </c>
      <c r="C53" s="12" t="s">
        <v>860</v>
      </c>
      <c r="D53" s="12" t="s">
        <v>861</v>
      </c>
      <c r="E53" s="12" t="s">
        <v>862</v>
      </c>
      <c r="F53" s="13">
        <v>43504</v>
      </c>
      <c r="G53" s="13">
        <v>43504</v>
      </c>
      <c r="H53" s="12" t="s">
        <v>36</v>
      </c>
      <c r="I53" s="13">
        <v>43555</v>
      </c>
      <c r="J53" s="12" t="s">
        <v>66</v>
      </c>
      <c r="K53" s="12" t="s">
        <v>34</v>
      </c>
      <c r="L53" s="14">
        <v>3</v>
      </c>
      <c r="M53" s="14">
        <v>34.5</v>
      </c>
      <c r="N53" s="14">
        <v>3</v>
      </c>
      <c r="O53" s="14"/>
      <c r="P53" s="14"/>
      <c r="Q53" s="12" t="s">
        <v>30</v>
      </c>
      <c r="R53" s="12" t="s">
        <v>30</v>
      </c>
      <c r="S53" s="12" t="s">
        <v>33</v>
      </c>
      <c r="T53" s="12" t="s">
        <v>762</v>
      </c>
      <c r="U53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53" s="12" t="s">
        <v>762</v>
      </c>
      <c r="W53" s="12" t="s">
        <v>762</v>
      </c>
      <c r="X53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53" s="12" t="s">
        <v>762</v>
      </c>
      <c r="Z53" s="12" t="s">
        <v>762</v>
      </c>
      <c r="AA53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53" s="12" t="s">
        <v>762</v>
      </c>
      <c r="AC53" s="12" t="s">
        <v>762</v>
      </c>
      <c r="AD53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53" s="12" t="s">
        <v>762</v>
      </c>
      <c r="AF53" s="12" t="s">
        <v>762</v>
      </c>
      <c r="AG53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53" s="12" t="s">
        <v>762</v>
      </c>
      <c r="AI53" s="12" t="s">
        <v>762</v>
      </c>
      <c r="AJ53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53" s="12" t="s">
        <v>762</v>
      </c>
      <c r="AL53" s="12"/>
      <c r="AM53" s="12"/>
      <c r="AN53" s="12"/>
      <c r="AO53" s="12" t="s">
        <v>66</v>
      </c>
      <c r="AP53" s="12" t="s">
        <v>66</v>
      </c>
      <c r="AQ53" s="12"/>
      <c r="AR53" s="14"/>
      <c r="AS53" s="14"/>
      <c r="AT53" s="13">
        <v>43503</v>
      </c>
      <c r="AU53" s="14" t="s">
        <v>1077</v>
      </c>
    </row>
    <row r="54" spans="1:47" ht="18.75" x14ac:dyDescent="0.3">
      <c r="A54" s="12" t="s">
        <v>799</v>
      </c>
      <c r="B54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TK866340</v>
      </c>
      <c r="C54" s="12" t="s">
        <v>800</v>
      </c>
      <c r="D54" s="12" t="s">
        <v>801</v>
      </c>
      <c r="E54" s="12" t="s">
        <v>798</v>
      </c>
      <c r="F54" s="13">
        <v>43504</v>
      </c>
      <c r="G54" s="13">
        <v>43504</v>
      </c>
      <c r="H54" s="12" t="s">
        <v>36</v>
      </c>
      <c r="I54" s="13">
        <v>43525</v>
      </c>
      <c r="J54" s="12" t="s">
        <v>66</v>
      </c>
      <c r="K54" s="12" t="s">
        <v>34</v>
      </c>
      <c r="L54" s="14">
        <v>3</v>
      </c>
      <c r="M54" s="14">
        <v>34.5</v>
      </c>
      <c r="N54" s="14">
        <v>3</v>
      </c>
      <c r="O54" s="14"/>
      <c r="P54" s="14"/>
      <c r="Q54" s="12" t="s">
        <v>30</v>
      </c>
      <c r="R54" s="12" t="s">
        <v>30</v>
      </c>
      <c r="S54" s="12" t="s">
        <v>33</v>
      </c>
      <c r="T54" s="12" t="s">
        <v>762</v>
      </c>
      <c r="U54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54" s="12" t="s">
        <v>762</v>
      </c>
      <c r="W54" s="12" t="s">
        <v>762</v>
      </c>
      <c r="X54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54" s="12" t="s">
        <v>762</v>
      </c>
      <c r="Z54" s="12" t="s">
        <v>762</v>
      </c>
      <c r="AA54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54" s="12" t="s">
        <v>762</v>
      </c>
      <c r="AC54" s="12" t="s">
        <v>762</v>
      </c>
      <c r="AD54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54" s="12" t="s">
        <v>762</v>
      </c>
      <c r="AF54" s="12" t="s">
        <v>762</v>
      </c>
      <c r="AG54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54" s="12" t="s">
        <v>762</v>
      </c>
      <c r="AI54" s="12" t="s">
        <v>762</v>
      </c>
      <c r="AJ54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54" s="12" t="s">
        <v>762</v>
      </c>
      <c r="AL54" s="12"/>
      <c r="AM54" s="12"/>
      <c r="AN54" s="12"/>
      <c r="AO54" s="12" t="s">
        <v>66</v>
      </c>
      <c r="AP54" s="12"/>
      <c r="AQ54" s="12"/>
      <c r="AR54" s="14"/>
      <c r="AS54" s="14"/>
      <c r="AT54" s="13">
        <v>43503</v>
      </c>
      <c r="AU54" s="14" t="s">
        <v>1078</v>
      </c>
    </row>
    <row r="55" spans="1:47" ht="18.75" x14ac:dyDescent="0.3">
      <c r="A55" s="12" t="s">
        <v>802</v>
      </c>
      <c r="B55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TK866328</v>
      </c>
      <c r="C55" s="12" t="s">
        <v>803</v>
      </c>
      <c r="D55" s="12" t="s">
        <v>804</v>
      </c>
      <c r="E55" s="12" t="s">
        <v>805</v>
      </c>
      <c r="F55" s="13">
        <v>43505</v>
      </c>
      <c r="G55" s="13">
        <v>43505</v>
      </c>
      <c r="H55" s="12" t="s">
        <v>36</v>
      </c>
      <c r="I55" s="13">
        <v>43525</v>
      </c>
      <c r="J55" s="12" t="s">
        <v>66</v>
      </c>
      <c r="K55" s="12" t="s">
        <v>34</v>
      </c>
      <c r="L55" s="14">
        <v>3</v>
      </c>
      <c r="M55" s="14">
        <v>34.5</v>
      </c>
      <c r="N55" s="14">
        <v>3</v>
      </c>
      <c r="O55" s="14"/>
      <c r="P55" s="14"/>
      <c r="Q55" s="12" t="s">
        <v>30</v>
      </c>
      <c r="R55" s="12" t="s">
        <v>30</v>
      </c>
      <c r="S55" s="12" t="s">
        <v>33</v>
      </c>
      <c r="T55" s="12" t="s">
        <v>762</v>
      </c>
      <c r="U55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55" s="12" t="s">
        <v>762</v>
      </c>
      <c r="W55" s="12" t="s">
        <v>762</v>
      </c>
      <c r="X55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55" s="12" t="s">
        <v>762</v>
      </c>
      <c r="Z55" s="12" t="s">
        <v>762</v>
      </c>
      <c r="AA55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55" s="12" t="s">
        <v>762</v>
      </c>
      <c r="AC55" s="12" t="s">
        <v>762</v>
      </c>
      <c r="AD55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55" s="12" t="s">
        <v>762</v>
      </c>
      <c r="AF55" s="12" t="s">
        <v>762</v>
      </c>
      <c r="AG55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55" s="12" t="s">
        <v>762</v>
      </c>
      <c r="AI55" s="12" t="s">
        <v>762</v>
      </c>
      <c r="AJ55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55" s="12" t="s">
        <v>762</v>
      </c>
      <c r="AL55" s="12"/>
      <c r="AM55" s="12"/>
      <c r="AN55" s="12"/>
      <c r="AO55" s="12" t="s">
        <v>66</v>
      </c>
      <c r="AP55" s="12"/>
      <c r="AQ55" s="12"/>
      <c r="AR55" s="14"/>
      <c r="AS55" s="14"/>
      <c r="AT55" s="13">
        <v>43503</v>
      </c>
      <c r="AU55" s="14" t="s">
        <v>1079</v>
      </c>
    </row>
    <row r="56" spans="1:47" s="6" customFormat="1" ht="18.75" x14ac:dyDescent="0.3">
      <c r="A56" s="17" t="s">
        <v>863</v>
      </c>
      <c r="B56" s="17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TK860345</v>
      </c>
      <c r="C56" s="17" t="s">
        <v>864</v>
      </c>
      <c r="D56" s="17" t="s">
        <v>865</v>
      </c>
      <c r="E56" s="17" t="s">
        <v>862</v>
      </c>
      <c r="F56" s="18">
        <v>43505</v>
      </c>
      <c r="G56" s="18">
        <v>43505</v>
      </c>
      <c r="H56" s="17" t="s">
        <v>36</v>
      </c>
      <c r="I56" s="18">
        <v>43555</v>
      </c>
      <c r="J56" s="17" t="s">
        <v>66</v>
      </c>
      <c r="K56" s="17" t="s">
        <v>34</v>
      </c>
      <c r="L56" s="19">
        <v>3</v>
      </c>
      <c r="M56" s="19">
        <v>34.5</v>
      </c>
      <c r="N56" s="19">
        <v>3</v>
      </c>
      <c r="O56" s="19"/>
      <c r="P56" s="19"/>
      <c r="Q56" s="17" t="s">
        <v>30</v>
      </c>
      <c r="R56" s="17" t="s">
        <v>30</v>
      </c>
      <c r="S56" s="17" t="s">
        <v>33</v>
      </c>
      <c r="T56" s="17" t="s">
        <v>762</v>
      </c>
      <c r="U56" s="20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56" s="17" t="s">
        <v>762</v>
      </c>
      <c r="W56" s="17" t="s">
        <v>762</v>
      </c>
      <c r="X56" s="20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56" s="17" t="s">
        <v>762</v>
      </c>
      <c r="Z56" s="17" t="s">
        <v>762</v>
      </c>
      <c r="AA56" s="17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56" s="17" t="s">
        <v>762</v>
      </c>
      <c r="AC56" s="17" t="s">
        <v>762</v>
      </c>
      <c r="AD56" s="17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56" s="17" t="s">
        <v>762</v>
      </c>
      <c r="AF56" s="17" t="s">
        <v>762</v>
      </c>
      <c r="AG56" s="17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56" s="17" t="s">
        <v>762</v>
      </c>
      <c r="AI56" s="17" t="s">
        <v>762</v>
      </c>
      <c r="AJ56" s="17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56" s="17" t="s">
        <v>762</v>
      </c>
      <c r="AL56" s="17"/>
      <c r="AM56" s="17"/>
      <c r="AN56" s="17"/>
      <c r="AO56" s="17" t="s">
        <v>66</v>
      </c>
      <c r="AP56" s="17"/>
      <c r="AQ56" s="17"/>
      <c r="AR56" s="19"/>
      <c r="AS56" s="19"/>
      <c r="AT56" s="18">
        <v>43503</v>
      </c>
      <c r="AU56" s="19"/>
    </row>
    <row r="57" spans="1:47" ht="18.75" x14ac:dyDescent="0.3">
      <c r="A57" s="12" t="s">
        <v>806</v>
      </c>
      <c r="B57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TK866337</v>
      </c>
      <c r="C57" s="12" t="s">
        <v>807</v>
      </c>
      <c r="D57" s="12" t="s">
        <v>808</v>
      </c>
      <c r="E57" s="12" t="s">
        <v>809</v>
      </c>
      <c r="F57" s="13">
        <v>43506</v>
      </c>
      <c r="G57" s="13">
        <v>43506</v>
      </c>
      <c r="H57" s="12" t="s">
        <v>36</v>
      </c>
      <c r="I57" s="13">
        <v>43647</v>
      </c>
      <c r="J57" s="12" t="s">
        <v>66</v>
      </c>
      <c r="K57" s="12" t="s">
        <v>34</v>
      </c>
      <c r="L57" s="14">
        <v>3</v>
      </c>
      <c r="M57" s="14">
        <v>34.5</v>
      </c>
      <c r="N57" s="14">
        <v>3</v>
      </c>
      <c r="O57" s="14"/>
      <c r="P57" s="14"/>
      <c r="Q57" s="12" t="s">
        <v>30</v>
      </c>
      <c r="R57" s="12" t="s">
        <v>30</v>
      </c>
      <c r="S57" s="12" t="s">
        <v>33</v>
      </c>
      <c r="T57" s="12" t="s">
        <v>762</v>
      </c>
      <c r="U57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57" s="12" t="s">
        <v>762</v>
      </c>
      <c r="W57" s="12" t="s">
        <v>762</v>
      </c>
      <c r="X57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57" s="12" t="s">
        <v>762</v>
      </c>
      <c r="Z57" s="12" t="s">
        <v>762</v>
      </c>
      <c r="AA57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57" s="12" t="s">
        <v>762</v>
      </c>
      <c r="AC57" s="12" t="s">
        <v>762</v>
      </c>
      <c r="AD57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57" s="12" t="s">
        <v>762</v>
      </c>
      <c r="AF57" s="12" t="s">
        <v>762</v>
      </c>
      <c r="AG57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57" s="12" t="s">
        <v>762</v>
      </c>
      <c r="AI57" s="12" t="s">
        <v>762</v>
      </c>
      <c r="AJ57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57" s="12" t="s">
        <v>762</v>
      </c>
      <c r="AL57" s="12"/>
      <c r="AM57" s="12"/>
      <c r="AN57" s="12"/>
      <c r="AO57" s="12" t="s">
        <v>66</v>
      </c>
      <c r="AP57" s="12"/>
      <c r="AQ57" s="12"/>
      <c r="AR57" s="14"/>
      <c r="AS57" s="14"/>
      <c r="AT57" s="13">
        <v>43503</v>
      </c>
      <c r="AU57" s="14" t="s">
        <v>822</v>
      </c>
    </row>
    <row r="58" spans="1:47" ht="18.75" x14ac:dyDescent="0.3">
      <c r="A58" s="12" t="s">
        <v>866</v>
      </c>
      <c r="B58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TK860346</v>
      </c>
      <c r="C58" s="12" t="s">
        <v>867</v>
      </c>
      <c r="D58" s="12" t="s">
        <v>868</v>
      </c>
      <c r="E58" s="12" t="s">
        <v>862</v>
      </c>
      <c r="F58" s="13">
        <v>43506</v>
      </c>
      <c r="G58" s="13">
        <v>43507</v>
      </c>
      <c r="H58" s="12" t="s">
        <v>36</v>
      </c>
      <c r="I58" s="13">
        <v>43555</v>
      </c>
      <c r="J58" s="12" t="s">
        <v>66</v>
      </c>
      <c r="K58" s="12" t="s">
        <v>29</v>
      </c>
      <c r="L58" s="14">
        <v>3</v>
      </c>
      <c r="M58" s="14">
        <v>72</v>
      </c>
      <c r="N58" s="14">
        <v>3</v>
      </c>
      <c r="O58" s="14"/>
      <c r="P58" s="14"/>
      <c r="Q58" s="12" t="s">
        <v>42</v>
      </c>
      <c r="R58" s="12" t="s">
        <v>42</v>
      </c>
      <c r="S58" s="12" t="s">
        <v>33</v>
      </c>
      <c r="T58" s="12" t="s">
        <v>762</v>
      </c>
      <c r="U58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58" s="12" t="s">
        <v>762</v>
      </c>
      <c r="W58" s="12" t="s">
        <v>762</v>
      </c>
      <c r="X58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58" s="12" t="s">
        <v>762</v>
      </c>
      <c r="Z58" s="12" t="s">
        <v>762</v>
      </c>
      <c r="AA58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58" s="12" t="s">
        <v>762</v>
      </c>
      <c r="AC58" s="12" t="s">
        <v>762</v>
      </c>
      <c r="AD58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58" s="12" t="s">
        <v>762</v>
      </c>
      <c r="AF58" s="12" t="s">
        <v>762</v>
      </c>
      <c r="AG58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58" s="12" t="s">
        <v>762</v>
      </c>
      <c r="AI58" s="12" t="s">
        <v>762</v>
      </c>
      <c r="AJ58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58" s="12" t="s">
        <v>762</v>
      </c>
      <c r="AL58" s="12"/>
      <c r="AM58" s="12"/>
      <c r="AN58" s="12"/>
      <c r="AO58" s="12" t="s">
        <v>66</v>
      </c>
      <c r="AP58" s="12"/>
      <c r="AQ58" s="12"/>
      <c r="AR58" s="14"/>
      <c r="AS58" s="14"/>
      <c r="AT58" s="13">
        <v>43503</v>
      </c>
      <c r="AU58" s="14"/>
    </row>
    <row r="59" spans="1:47" ht="18.75" x14ac:dyDescent="0.3">
      <c r="A59" s="12" t="s">
        <v>648</v>
      </c>
      <c r="B59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TK824855</v>
      </c>
      <c r="C59" s="12" t="s">
        <v>649</v>
      </c>
      <c r="D59" s="12" t="s">
        <v>650</v>
      </c>
      <c r="E59" s="12" t="s">
        <v>68</v>
      </c>
      <c r="F59" s="13">
        <v>43506</v>
      </c>
      <c r="G59" s="13">
        <v>43506</v>
      </c>
      <c r="H59" s="12" t="s">
        <v>36</v>
      </c>
      <c r="I59" s="13">
        <v>43654</v>
      </c>
      <c r="J59" s="12" t="s">
        <v>66</v>
      </c>
      <c r="K59" s="12" t="s">
        <v>34</v>
      </c>
      <c r="L59" s="14">
        <v>3</v>
      </c>
      <c r="M59" s="14">
        <v>24</v>
      </c>
      <c r="N59" s="14">
        <v>2</v>
      </c>
      <c r="O59" s="14"/>
      <c r="P59" s="14"/>
      <c r="Q59" s="12" t="s">
        <v>30</v>
      </c>
      <c r="R59" s="12" t="s">
        <v>30</v>
      </c>
      <c r="S59" s="12" t="s">
        <v>33</v>
      </c>
      <c r="T59" s="12" t="s">
        <v>1026</v>
      </c>
      <c r="U59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297552 Verified</v>
      </c>
      <c r="V59" s="12" t="s">
        <v>784</v>
      </c>
      <c r="W59" s="12" t="s">
        <v>762</v>
      </c>
      <c r="X59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59" s="12" t="s">
        <v>762</v>
      </c>
      <c r="Z59" s="12" t="s">
        <v>762</v>
      </c>
      <c r="AA59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59" s="12" t="s">
        <v>762</v>
      </c>
      <c r="AC59" s="12" t="s">
        <v>762</v>
      </c>
      <c r="AD59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59" s="12" t="s">
        <v>762</v>
      </c>
      <c r="AF59" s="12" t="s">
        <v>762</v>
      </c>
      <c r="AG59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59" s="12" t="s">
        <v>762</v>
      </c>
      <c r="AI59" s="12" t="s">
        <v>762</v>
      </c>
      <c r="AJ59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59" s="12" t="s">
        <v>762</v>
      </c>
      <c r="AL59" s="12"/>
      <c r="AM59" s="12"/>
      <c r="AN59" s="12"/>
      <c r="AO59" s="12" t="s">
        <v>66</v>
      </c>
      <c r="AP59" s="12"/>
      <c r="AQ59" s="12"/>
      <c r="AR59" s="14"/>
      <c r="AS59" s="14"/>
      <c r="AT59" s="13">
        <v>43503</v>
      </c>
      <c r="AU59" s="14"/>
    </row>
    <row r="60" spans="1:47" ht="18.75" x14ac:dyDescent="0.3">
      <c r="A60" s="12" t="s">
        <v>255</v>
      </c>
      <c r="B60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TK824828</v>
      </c>
      <c r="C60" s="12" t="s">
        <v>256</v>
      </c>
      <c r="D60" s="12" t="s">
        <v>257</v>
      </c>
      <c r="E60" s="12" t="s">
        <v>68</v>
      </c>
      <c r="F60" s="13">
        <v>43506</v>
      </c>
      <c r="G60" s="13">
        <v>43506</v>
      </c>
      <c r="H60" s="12" t="s">
        <v>36</v>
      </c>
      <c r="I60" s="13">
        <v>43654</v>
      </c>
      <c r="J60" s="12" t="s">
        <v>66</v>
      </c>
      <c r="K60" s="12" t="s">
        <v>34</v>
      </c>
      <c r="L60" s="14">
        <v>3</v>
      </c>
      <c r="M60" s="14">
        <v>18</v>
      </c>
      <c r="N60" s="14">
        <v>2</v>
      </c>
      <c r="O60" s="14"/>
      <c r="P60" s="14"/>
      <c r="Q60" s="12" t="s">
        <v>30</v>
      </c>
      <c r="R60" s="12" t="s">
        <v>30</v>
      </c>
      <c r="S60" s="12" t="s">
        <v>33</v>
      </c>
      <c r="T60" s="12" t="s">
        <v>1027</v>
      </c>
      <c r="U60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296535 Verified</v>
      </c>
      <c r="V60" s="12" t="s">
        <v>784</v>
      </c>
      <c r="W60" s="12" t="s">
        <v>762</v>
      </c>
      <c r="X60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60" s="12" t="s">
        <v>762</v>
      </c>
      <c r="Z60" s="12" t="s">
        <v>762</v>
      </c>
      <c r="AA60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60" s="12" t="s">
        <v>762</v>
      </c>
      <c r="AC60" s="12" t="s">
        <v>762</v>
      </c>
      <c r="AD60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60" s="12" t="s">
        <v>762</v>
      </c>
      <c r="AF60" s="12" t="s">
        <v>762</v>
      </c>
      <c r="AG60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60" s="12" t="s">
        <v>762</v>
      </c>
      <c r="AI60" s="12" t="s">
        <v>762</v>
      </c>
      <c r="AJ60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60" s="12" t="s">
        <v>762</v>
      </c>
      <c r="AL60" s="12"/>
      <c r="AM60" s="12"/>
      <c r="AN60" s="12"/>
      <c r="AO60" s="12" t="s">
        <v>66</v>
      </c>
      <c r="AP60" s="12" t="s">
        <v>66</v>
      </c>
      <c r="AQ60" s="12"/>
      <c r="AR60" s="14"/>
      <c r="AS60" s="14"/>
      <c r="AT60" s="13">
        <v>43503</v>
      </c>
      <c r="AU60" s="14"/>
    </row>
    <row r="61" spans="1:47" ht="18.75" x14ac:dyDescent="0.3">
      <c r="A61" s="12" t="s">
        <v>651</v>
      </c>
      <c r="B61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TK824853</v>
      </c>
      <c r="C61" s="12" t="s">
        <v>652</v>
      </c>
      <c r="D61" s="12" t="s">
        <v>653</v>
      </c>
      <c r="E61" s="12" t="s">
        <v>68</v>
      </c>
      <c r="F61" s="13">
        <v>43507</v>
      </c>
      <c r="G61" s="13">
        <v>43507</v>
      </c>
      <c r="H61" s="12" t="s">
        <v>36</v>
      </c>
      <c r="I61" s="13">
        <v>43654</v>
      </c>
      <c r="J61" s="12" t="s">
        <v>66</v>
      </c>
      <c r="K61" s="12" t="s">
        <v>29</v>
      </c>
      <c r="L61" s="14">
        <v>3</v>
      </c>
      <c r="M61" s="14">
        <v>24</v>
      </c>
      <c r="N61" s="14">
        <v>2</v>
      </c>
      <c r="O61" s="14"/>
      <c r="P61" s="14"/>
      <c r="Q61" s="12" t="s">
        <v>30</v>
      </c>
      <c r="R61" s="12" t="s">
        <v>30</v>
      </c>
      <c r="S61" s="12" t="s">
        <v>33</v>
      </c>
      <c r="T61" s="12" t="s">
        <v>1028</v>
      </c>
      <c r="U61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297548 Draft</v>
      </c>
      <c r="V61" s="12" t="s">
        <v>787</v>
      </c>
      <c r="W61" s="12" t="s">
        <v>762</v>
      </c>
      <c r="X61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61" s="12" t="s">
        <v>762</v>
      </c>
      <c r="Z61" s="12" t="s">
        <v>762</v>
      </c>
      <c r="AA61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61" s="12" t="s">
        <v>762</v>
      </c>
      <c r="AC61" s="12" t="s">
        <v>762</v>
      </c>
      <c r="AD61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61" s="12" t="s">
        <v>762</v>
      </c>
      <c r="AF61" s="12" t="s">
        <v>762</v>
      </c>
      <c r="AG61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61" s="12" t="s">
        <v>762</v>
      </c>
      <c r="AI61" s="12" t="s">
        <v>762</v>
      </c>
      <c r="AJ61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61" s="12" t="s">
        <v>762</v>
      </c>
      <c r="AL61" s="12"/>
      <c r="AM61" s="12"/>
      <c r="AN61" s="12"/>
      <c r="AO61" s="12" t="s">
        <v>66</v>
      </c>
      <c r="AP61" s="12"/>
      <c r="AQ61" s="12"/>
      <c r="AR61" s="14"/>
      <c r="AS61" s="14"/>
      <c r="AT61" s="13">
        <v>43503</v>
      </c>
      <c r="AU61" s="14"/>
    </row>
    <row r="62" spans="1:47" ht="18.75" x14ac:dyDescent="0.3">
      <c r="A62" s="12" t="s">
        <v>262</v>
      </c>
      <c r="B62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TK824819</v>
      </c>
      <c r="C62" s="12" t="s">
        <v>263</v>
      </c>
      <c r="D62" s="12" t="s">
        <v>264</v>
      </c>
      <c r="E62" s="12" t="s">
        <v>68</v>
      </c>
      <c r="F62" s="13">
        <v>43507</v>
      </c>
      <c r="G62" s="13">
        <v>43507</v>
      </c>
      <c r="H62" s="12" t="s">
        <v>36</v>
      </c>
      <c r="I62" s="13">
        <v>43654</v>
      </c>
      <c r="J62" s="12" t="s">
        <v>66</v>
      </c>
      <c r="K62" s="12" t="s">
        <v>29</v>
      </c>
      <c r="L62" s="14">
        <v>3</v>
      </c>
      <c r="M62" s="14">
        <v>12</v>
      </c>
      <c r="N62" s="14">
        <v>2</v>
      </c>
      <c r="O62" s="14"/>
      <c r="P62" s="14"/>
      <c r="Q62" s="12" t="s">
        <v>30</v>
      </c>
      <c r="R62" s="12" t="s">
        <v>30</v>
      </c>
      <c r="S62" s="12" t="s">
        <v>33</v>
      </c>
      <c r="T62" s="12" t="s">
        <v>1027</v>
      </c>
      <c r="U62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296535 Verified</v>
      </c>
      <c r="V62" s="12" t="s">
        <v>784</v>
      </c>
      <c r="W62" s="12" t="s">
        <v>762</v>
      </c>
      <c r="X62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62" s="12" t="s">
        <v>762</v>
      </c>
      <c r="Z62" s="12" t="s">
        <v>762</v>
      </c>
      <c r="AA62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62" s="12" t="s">
        <v>762</v>
      </c>
      <c r="AC62" s="12" t="s">
        <v>762</v>
      </c>
      <c r="AD62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62" s="12" t="s">
        <v>762</v>
      </c>
      <c r="AF62" s="12" t="s">
        <v>762</v>
      </c>
      <c r="AG62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62" s="12" t="s">
        <v>762</v>
      </c>
      <c r="AI62" s="12" t="s">
        <v>762</v>
      </c>
      <c r="AJ62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62" s="12" t="s">
        <v>762</v>
      </c>
      <c r="AL62" s="12"/>
      <c r="AM62" s="12"/>
      <c r="AN62" s="12"/>
      <c r="AO62" s="12" t="s">
        <v>66</v>
      </c>
      <c r="AP62" s="12"/>
      <c r="AQ62" s="12"/>
      <c r="AR62" s="14"/>
      <c r="AS62" s="14"/>
      <c r="AT62" s="13">
        <v>43503</v>
      </c>
      <c r="AU62" s="14"/>
    </row>
    <row r="63" spans="1:47" ht="18.75" x14ac:dyDescent="0.3">
      <c r="A63" s="12" t="s">
        <v>258</v>
      </c>
      <c r="B63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TK827450</v>
      </c>
      <c r="C63" s="12" t="s">
        <v>259</v>
      </c>
      <c r="D63" s="12" t="s">
        <v>260</v>
      </c>
      <c r="E63" s="12" t="s">
        <v>261</v>
      </c>
      <c r="F63" s="13">
        <v>43507</v>
      </c>
      <c r="G63" s="13">
        <v>43507</v>
      </c>
      <c r="H63" s="12" t="s">
        <v>36</v>
      </c>
      <c r="I63" s="13">
        <v>43548</v>
      </c>
      <c r="J63" s="12" t="s">
        <v>66</v>
      </c>
      <c r="K63" s="12" t="s">
        <v>34</v>
      </c>
      <c r="L63" s="14">
        <v>3</v>
      </c>
      <c r="M63" s="14">
        <v>34.5</v>
      </c>
      <c r="N63" s="14">
        <v>3</v>
      </c>
      <c r="O63" s="14"/>
      <c r="P63" s="14"/>
      <c r="Q63" s="12" t="s">
        <v>30</v>
      </c>
      <c r="R63" s="12" t="s">
        <v>30</v>
      </c>
      <c r="S63" s="12" t="s">
        <v>33</v>
      </c>
      <c r="T63" s="12" t="s">
        <v>1029</v>
      </c>
      <c r="U63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296743 RTV</v>
      </c>
      <c r="V63" s="12" t="s">
        <v>786</v>
      </c>
      <c r="W63" s="12" t="s">
        <v>762</v>
      </c>
      <c r="X63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63" s="12" t="s">
        <v>762</v>
      </c>
      <c r="Z63" s="12" t="s">
        <v>762</v>
      </c>
      <c r="AA63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63" s="12" t="s">
        <v>762</v>
      </c>
      <c r="AC63" s="12" t="s">
        <v>762</v>
      </c>
      <c r="AD63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63" s="12" t="s">
        <v>762</v>
      </c>
      <c r="AF63" s="12" t="s">
        <v>762</v>
      </c>
      <c r="AG63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63" s="12" t="s">
        <v>762</v>
      </c>
      <c r="AI63" s="12" t="s">
        <v>762</v>
      </c>
      <c r="AJ63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63" s="12" t="s">
        <v>762</v>
      </c>
      <c r="AL63" s="12"/>
      <c r="AM63" s="12"/>
      <c r="AN63" s="12"/>
      <c r="AO63" s="12" t="s">
        <v>66</v>
      </c>
      <c r="AP63" s="12" t="s">
        <v>66</v>
      </c>
      <c r="AQ63" s="12"/>
      <c r="AR63" s="14"/>
      <c r="AS63" s="14"/>
      <c r="AT63" s="13">
        <v>43503</v>
      </c>
      <c r="AU63" s="14" t="s">
        <v>830</v>
      </c>
    </row>
    <row r="64" spans="1:47" ht="18.75" x14ac:dyDescent="0.3">
      <c r="A64" s="12" t="s">
        <v>265</v>
      </c>
      <c r="B64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TK827430</v>
      </c>
      <c r="C64" s="12" t="s">
        <v>266</v>
      </c>
      <c r="D64" s="12" t="s">
        <v>267</v>
      </c>
      <c r="E64" s="12" t="s">
        <v>261</v>
      </c>
      <c r="F64" s="13">
        <v>43508</v>
      </c>
      <c r="G64" s="13">
        <v>43508</v>
      </c>
      <c r="H64" s="12" t="s">
        <v>36</v>
      </c>
      <c r="I64" s="13">
        <v>43548</v>
      </c>
      <c r="J64" s="12" t="s">
        <v>66</v>
      </c>
      <c r="K64" s="12" t="s">
        <v>29</v>
      </c>
      <c r="L64" s="14">
        <v>3</v>
      </c>
      <c r="M64" s="14">
        <v>12</v>
      </c>
      <c r="N64" s="14">
        <v>3</v>
      </c>
      <c r="O64" s="14"/>
      <c r="P64" s="14"/>
      <c r="Q64" s="12" t="s">
        <v>30</v>
      </c>
      <c r="R64" s="12" t="s">
        <v>30</v>
      </c>
      <c r="S64" s="12" t="s">
        <v>33</v>
      </c>
      <c r="T64" s="12" t="s">
        <v>1030</v>
      </c>
      <c r="U64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295949 Verified</v>
      </c>
      <c r="V64" s="12" t="s">
        <v>785</v>
      </c>
      <c r="W64" s="12" t="s">
        <v>762</v>
      </c>
      <c r="X64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64" s="12" t="s">
        <v>762</v>
      </c>
      <c r="Z64" s="12" t="s">
        <v>762</v>
      </c>
      <c r="AA64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64" s="12" t="s">
        <v>762</v>
      </c>
      <c r="AC64" s="12" t="s">
        <v>762</v>
      </c>
      <c r="AD64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64" s="12" t="s">
        <v>762</v>
      </c>
      <c r="AF64" s="12" t="s">
        <v>762</v>
      </c>
      <c r="AG64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64" s="12" t="s">
        <v>762</v>
      </c>
      <c r="AI64" s="12" t="s">
        <v>762</v>
      </c>
      <c r="AJ64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64" s="12" t="s">
        <v>762</v>
      </c>
      <c r="AL64" s="12"/>
      <c r="AM64" s="12"/>
      <c r="AN64" s="12"/>
      <c r="AO64" s="12" t="s">
        <v>66</v>
      </c>
      <c r="AP64" s="12"/>
      <c r="AQ64" s="12"/>
      <c r="AR64" s="14"/>
      <c r="AS64" s="14"/>
      <c r="AT64" s="13">
        <v>43503</v>
      </c>
      <c r="AU64" s="14"/>
    </row>
    <row r="65" spans="1:47" ht="18.75" x14ac:dyDescent="0.3">
      <c r="A65" s="12" t="s">
        <v>869</v>
      </c>
      <c r="B65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TK860348</v>
      </c>
      <c r="C65" s="12" t="s">
        <v>870</v>
      </c>
      <c r="D65" s="12" t="s">
        <v>871</v>
      </c>
      <c r="E65" s="12" t="s">
        <v>862</v>
      </c>
      <c r="F65" s="13">
        <v>43508</v>
      </c>
      <c r="G65" s="13">
        <v>43508</v>
      </c>
      <c r="H65" s="12" t="s">
        <v>36</v>
      </c>
      <c r="I65" s="13">
        <v>43555</v>
      </c>
      <c r="J65" s="12" t="s">
        <v>66</v>
      </c>
      <c r="K65" s="12" t="s">
        <v>34</v>
      </c>
      <c r="L65" s="14">
        <v>3</v>
      </c>
      <c r="M65" s="14">
        <v>18</v>
      </c>
      <c r="N65" s="14">
        <v>3</v>
      </c>
      <c r="O65" s="14"/>
      <c r="P65" s="14"/>
      <c r="Q65" s="12" t="s">
        <v>30</v>
      </c>
      <c r="R65" s="12" t="s">
        <v>30</v>
      </c>
      <c r="S65" s="12" t="s">
        <v>33</v>
      </c>
      <c r="T65" s="12" t="s">
        <v>762</v>
      </c>
      <c r="U65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65" s="12" t="s">
        <v>762</v>
      </c>
      <c r="W65" s="12" t="s">
        <v>762</v>
      </c>
      <c r="X65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65" s="12" t="s">
        <v>762</v>
      </c>
      <c r="Z65" s="12" t="s">
        <v>762</v>
      </c>
      <c r="AA65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65" s="12" t="s">
        <v>762</v>
      </c>
      <c r="AC65" s="12" t="s">
        <v>762</v>
      </c>
      <c r="AD65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65" s="12" t="s">
        <v>762</v>
      </c>
      <c r="AF65" s="12" t="s">
        <v>762</v>
      </c>
      <c r="AG65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65" s="12" t="s">
        <v>762</v>
      </c>
      <c r="AI65" s="12" t="s">
        <v>762</v>
      </c>
      <c r="AJ65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65" s="12" t="s">
        <v>762</v>
      </c>
      <c r="AL65" s="12"/>
      <c r="AM65" s="12"/>
      <c r="AN65" s="12"/>
      <c r="AO65" s="12" t="s">
        <v>66</v>
      </c>
      <c r="AP65" s="12"/>
      <c r="AQ65" s="12"/>
      <c r="AR65" s="14"/>
      <c r="AS65" s="14"/>
      <c r="AT65" s="13">
        <v>43503</v>
      </c>
      <c r="AU65" s="14"/>
    </row>
    <row r="66" spans="1:47" ht="18.75" x14ac:dyDescent="0.3">
      <c r="A66" s="12"/>
      <c r="B66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2/14/2019</v>
      </c>
      <c r="C66" s="12" t="s">
        <v>55</v>
      </c>
      <c r="D66" s="12"/>
      <c r="E66" s="12"/>
      <c r="F66" s="13"/>
      <c r="G66" s="13"/>
      <c r="H66" s="12"/>
      <c r="I66" s="13"/>
      <c r="J66" s="12"/>
      <c r="K66" s="12"/>
      <c r="L66" s="14"/>
      <c r="M66" s="14"/>
      <c r="N66" s="14"/>
      <c r="O66" s="14"/>
      <c r="P66" s="14"/>
      <c r="Q66" s="12"/>
      <c r="R66" s="12"/>
      <c r="S66" s="12"/>
      <c r="T66" s="12" t="s">
        <v>762</v>
      </c>
      <c r="U66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66" s="12" t="s">
        <v>762</v>
      </c>
      <c r="W66" s="12" t="s">
        <v>762</v>
      </c>
      <c r="X66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66" s="12" t="s">
        <v>762</v>
      </c>
      <c r="Z66" s="12" t="s">
        <v>762</v>
      </c>
      <c r="AA66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66" s="12" t="s">
        <v>762</v>
      </c>
      <c r="AC66" s="12" t="s">
        <v>762</v>
      </c>
      <c r="AD66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66" s="12" t="s">
        <v>762</v>
      </c>
      <c r="AF66" s="12" t="s">
        <v>762</v>
      </c>
      <c r="AG66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66" s="12" t="s">
        <v>762</v>
      </c>
      <c r="AI66" s="12" t="s">
        <v>762</v>
      </c>
      <c r="AJ66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66" s="12" t="s">
        <v>762</v>
      </c>
      <c r="AL66" s="12"/>
      <c r="AM66" s="12"/>
      <c r="AN66" s="12"/>
      <c r="AO66" s="12"/>
      <c r="AP66" s="12"/>
      <c r="AQ66" s="12"/>
      <c r="AR66" s="14"/>
      <c r="AS66" s="14"/>
      <c r="AT66" s="13">
        <v>43510</v>
      </c>
      <c r="AU66" s="14"/>
    </row>
    <row r="67" spans="1:47" ht="18.75" x14ac:dyDescent="0.3">
      <c r="A67" s="12" t="s">
        <v>654</v>
      </c>
      <c r="B67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TK824920</v>
      </c>
      <c r="C67" s="12" t="s">
        <v>655</v>
      </c>
      <c r="D67" s="12" t="s">
        <v>656</v>
      </c>
      <c r="E67" s="12" t="s">
        <v>68</v>
      </c>
      <c r="F67" s="13">
        <v>43509</v>
      </c>
      <c r="G67" s="13">
        <v>43509</v>
      </c>
      <c r="H67" s="12" t="s">
        <v>36</v>
      </c>
      <c r="I67" s="13">
        <v>43654</v>
      </c>
      <c r="J67" s="12" t="s">
        <v>66</v>
      </c>
      <c r="K67" s="12" t="s">
        <v>34</v>
      </c>
      <c r="L67" s="14">
        <v>3</v>
      </c>
      <c r="M67" s="14">
        <v>34.5</v>
      </c>
      <c r="N67" s="14">
        <v>2</v>
      </c>
      <c r="O67" s="14"/>
      <c r="P67" s="14"/>
      <c r="Q67" s="12" t="s">
        <v>30</v>
      </c>
      <c r="R67" s="12" t="s">
        <v>30</v>
      </c>
      <c r="S67" s="12" t="s">
        <v>33</v>
      </c>
      <c r="T67" s="12" t="s">
        <v>1026</v>
      </c>
      <c r="U67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297552 Verified</v>
      </c>
      <c r="V67" s="12" t="s">
        <v>784</v>
      </c>
      <c r="W67" s="12" t="s">
        <v>762</v>
      </c>
      <c r="X67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67" s="12" t="s">
        <v>762</v>
      </c>
      <c r="Z67" s="12" t="s">
        <v>762</v>
      </c>
      <c r="AA67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67" s="12" t="s">
        <v>762</v>
      </c>
      <c r="AC67" s="12" t="s">
        <v>762</v>
      </c>
      <c r="AD67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67" s="12" t="s">
        <v>762</v>
      </c>
      <c r="AF67" s="12" t="s">
        <v>762</v>
      </c>
      <c r="AG67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67" s="12" t="s">
        <v>762</v>
      </c>
      <c r="AI67" s="12" t="s">
        <v>762</v>
      </c>
      <c r="AJ67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67" s="12" t="s">
        <v>762</v>
      </c>
      <c r="AL67" s="12"/>
      <c r="AM67" s="12"/>
      <c r="AN67" s="12"/>
      <c r="AO67" s="12" t="s">
        <v>66</v>
      </c>
      <c r="AP67" s="12" t="s">
        <v>66</v>
      </c>
      <c r="AQ67" s="12"/>
      <c r="AR67" s="14"/>
      <c r="AS67" s="14"/>
      <c r="AT67" s="13">
        <v>43510</v>
      </c>
      <c r="AU67" s="14"/>
    </row>
    <row r="68" spans="1:47" ht="18.75" x14ac:dyDescent="0.3">
      <c r="A68" s="12" t="s">
        <v>872</v>
      </c>
      <c r="B68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TK860349</v>
      </c>
      <c r="C68" s="12" t="s">
        <v>873</v>
      </c>
      <c r="D68" s="12" t="s">
        <v>874</v>
      </c>
      <c r="E68" s="12" t="s">
        <v>862</v>
      </c>
      <c r="F68" s="13">
        <v>43509</v>
      </c>
      <c r="G68" s="13">
        <v>43509</v>
      </c>
      <c r="H68" s="12" t="s">
        <v>36</v>
      </c>
      <c r="I68" s="13">
        <v>43555</v>
      </c>
      <c r="J68" s="12" t="s">
        <v>66</v>
      </c>
      <c r="K68" s="12" t="s">
        <v>34</v>
      </c>
      <c r="L68" s="14">
        <v>3</v>
      </c>
      <c r="M68" s="14">
        <v>18</v>
      </c>
      <c r="N68" s="14">
        <v>3</v>
      </c>
      <c r="O68" s="14"/>
      <c r="P68" s="14"/>
      <c r="Q68" s="12" t="s">
        <v>30</v>
      </c>
      <c r="R68" s="12" t="s">
        <v>30</v>
      </c>
      <c r="S68" s="12" t="s">
        <v>33</v>
      </c>
      <c r="T68" s="12" t="s">
        <v>762</v>
      </c>
      <c r="U68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68" s="12" t="s">
        <v>762</v>
      </c>
      <c r="W68" s="12" t="s">
        <v>762</v>
      </c>
      <c r="X68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68" s="12" t="s">
        <v>762</v>
      </c>
      <c r="Z68" s="12" t="s">
        <v>762</v>
      </c>
      <c r="AA68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68" s="12" t="s">
        <v>762</v>
      </c>
      <c r="AC68" s="12" t="s">
        <v>762</v>
      </c>
      <c r="AD68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68" s="12" t="s">
        <v>762</v>
      </c>
      <c r="AF68" s="12" t="s">
        <v>762</v>
      </c>
      <c r="AG68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68" s="12" t="s">
        <v>762</v>
      </c>
      <c r="AI68" s="12" t="s">
        <v>762</v>
      </c>
      <c r="AJ68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68" s="12" t="s">
        <v>762</v>
      </c>
      <c r="AL68" s="12"/>
      <c r="AM68" s="12"/>
      <c r="AN68" s="12"/>
      <c r="AO68" s="12" t="s">
        <v>66</v>
      </c>
      <c r="AP68" s="12"/>
      <c r="AQ68" s="12"/>
      <c r="AR68" s="14"/>
      <c r="AS68" s="14"/>
      <c r="AT68" s="13">
        <v>43510</v>
      </c>
      <c r="AU68" s="14"/>
    </row>
    <row r="69" spans="1:47" ht="18.75" x14ac:dyDescent="0.3">
      <c r="A69" s="12" t="s">
        <v>268</v>
      </c>
      <c r="B69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TK824847</v>
      </c>
      <c r="C69" s="12" t="s">
        <v>269</v>
      </c>
      <c r="D69" s="12" t="s">
        <v>270</v>
      </c>
      <c r="E69" s="12" t="s">
        <v>68</v>
      </c>
      <c r="F69" s="13">
        <v>43509</v>
      </c>
      <c r="G69" s="13">
        <v>43509</v>
      </c>
      <c r="H69" s="12" t="s">
        <v>36</v>
      </c>
      <c r="I69" s="13">
        <v>43654</v>
      </c>
      <c r="J69" s="12" t="s">
        <v>66</v>
      </c>
      <c r="K69" s="12" t="s">
        <v>34</v>
      </c>
      <c r="L69" s="14">
        <v>3</v>
      </c>
      <c r="M69" s="14">
        <v>34.5</v>
      </c>
      <c r="N69" s="14">
        <v>2</v>
      </c>
      <c r="O69" s="14"/>
      <c r="P69" s="14"/>
      <c r="Q69" s="12" t="s">
        <v>30</v>
      </c>
      <c r="R69" s="12" t="s">
        <v>30</v>
      </c>
      <c r="S69" s="12" t="s">
        <v>33</v>
      </c>
      <c r="T69" s="12" t="s">
        <v>1027</v>
      </c>
      <c r="U69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296535 Verified</v>
      </c>
      <c r="V69" s="12" t="s">
        <v>784</v>
      </c>
      <c r="W69" s="12" t="s">
        <v>762</v>
      </c>
      <c r="X69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69" s="12" t="s">
        <v>762</v>
      </c>
      <c r="Z69" s="12" t="s">
        <v>762</v>
      </c>
      <c r="AA69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69" s="12" t="s">
        <v>762</v>
      </c>
      <c r="AC69" s="12" t="s">
        <v>762</v>
      </c>
      <c r="AD69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69" s="12" t="s">
        <v>762</v>
      </c>
      <c r="AF69" s="12" t="s">
        <v>762</v>
      </c>
      <c r="AG69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69" s="12" t="s">
        <v>762</v>
      </c>
      <c r="AI69" s="12" t="s">
        <v>762</v>
      </c>
      <c r="AJ69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69" s="12" t="s">
        <v>762</v>
      </c>
      <c r="AL69" s="12"/>
      <c r="AM69" s="12"/>
      <c r="AN69" s="12"/>
      <c r="AO69" s="12" t="s">
        <v>66</v>
      </c>
      <c r="AP69" s="12" t="s">
        <v>66</v>
      </c>
      <c r="AQ69" s="12"/>
      <c r="AR69" s="14"/>
      <c r="AS69" s="14"/>
      <c r="AT69" s="13">
        <v>43510</v>
      </c>
      <c r="AU69" s="14"/>
    </row>
    <row r="70" spans="1:47" ht="18.75" x14ac:dyDescent="0.3">
      <c r="A70" s="12" t="s">
        <v>274</v>
      </c>
      <c r="B70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TK827451</v>
      </c>
      <c r="C70" s="12" t="s">
        <v>275</v>
      </c>
      <c r="D70" s="12" t="s">
        <v>276</v>
      </c>
      <c r="E70" s="12" t="s">
        <v>261</v>
      </c>
      <c r="F70" s="13">
        <v>43510</v>
      </c>
      <c r="G70" s="13">
        <v>43510</v>
      </c>
      <c r="H70" s="12" t="s">
        <v>36</v>
      </c>
      <c r="I70" s="13">
        <v>43548</v>
      </c>
      <c r="J70" s="12" t="s">
        <v>66</v>
      </c>
      <c r="K70" s="12" t="s">
        <v>34</v>
      </c>
      <c r="L70" s="14">
        <v>3</v>
      </c>
      <c r="M70" s="14">
        <v>24</v>
      </c>
      <c r="N70" s="14">
        <v>3</v>
      </c>
      <c r="O70" s="14"/>
      <c r="P70" s="14"/>
      <c r="Q70" s="12" t="s">
        <v>30</v>
      </c>
      <c r="R70" s="12" t="s">
        <v>30</v>
      </c>
      <c r="S70" s="12" t="s">
        <v>33</v>
      </c>
      <c r="T70" s="12" t="s">
        <v>1029</v>
      </c>
      <c r="U70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296743 RTV</v>
      </c>
      <c r="V70" s="12" t="s">
        <v>786</v>
      </c>
      <c r="W70" s="12" t="s">
        <v>762</v>
      </c>
      <c r="X70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70" s="12" t="s">
        <v>762</v>
      </c>
      <c r="Z70" s="12" t="s">
        <v>762</v>
      </c>
      <c r="AA70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70" s="12" t="s">
        <v>762</v>
      </c>
      <c r="AC70" s="12" t="s">
        <v>762</v>
      </c>
      <c r="AD70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70" s="12" t="s">
        <v>762</v>
      </c>
      <c r="AF70" s="12" t="s">
        <v>762</v>
      </c>
      <c r="AG70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70" s="12" t="s">
        <v>762</v>
      </c>
      <c r="AI70" s="12" t="s">
        <v>762</v>
      </c>
      <c r="AJ70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70" s="12" t="s">
        <v>762</v>
      </c>
      <c r="AL70" s="12"/>
      <c r="AM70" s="12"/>
      <c r="AN70" s="12"/>
      <c r="AO70" s="12" t="s">
        <v>66</v>
      </c>
      <c r="AP70" s="12" t="s">
        <v>66</v>
      </c>
      <c r="AQ70" s="12"/>
      <c r="AR70" s="14"/>
      <c r="AS70" s="14"/>
      <c r="AT70" s="13">
        <v>43510</v>
      </c>
      <c r="AU70" s="14" t="s">
        <v>831</v>
      </c>
    </row>
    <row r="71" spans="1:47" ht="18.75" x14ac:dyDescent="0.3">
      <c r="A71" s="12" t="s">
        <v>271</v>
      </c>
      <c r="B71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TK831835</v>
      </c>
      <c r="C71" s="12" t="s">
        <v>272</v>
      </c>
      <c r="D71" s="12" t="s">
        <v>273</v>
      </c>
      <c r="E71" s="12" t="s">
        <v>68</v>
      </c>
      <c r="F71" s="13">
        <v>43510</v>
      </c>
      <c r="G71" s="13">
        <v>43510</v>
      </c>
      <c r="H71" s="12" t="s">
        <v>36</v>
      </c>
      <c r="I71" s="13">
        <v>43654</v>
      </c>
      <c r="J71" s="12" t="s">
        <v>66</v>
      </c>
      <c r="K71" s="12" t="s">
        <v>34</v>
      </c>
      <c r="L71" s="14">
        <v>3</v>
      </c>
      <c r="M71" s="14">
        <v>9</v>
      </c>
      <c r="N71" s="14">
        <v>2</v>
      </c>
      <c r="O71" s="14"/>
      <c r="P71" s="14"/>
      <c r="Q71" s="12" t="s">
        <v>30</v>
      </c>
      <c r="R71" s="12" t="s">
        <v>30</v>
      </c>
      <c r="S71" s="12" t="s">
        <v>33</v>
      </c>
      <c r="T71" s="12" t="s">
        <v>1027</v>
      </c>
      <c r="U71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296535 Verified</v>
      </c>
      <c r="V71" s="12" t="s">
        <v>784</v>
      </c>
      <c r="W71" s="12" t="s">
        <v>762</v>
      </c>
      <c r="X71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71" s="12" t="s">
        <v>762</v>
      </c>
      <c r="Z71" s="12" t="s">
        <v>762</v>
      </c>
      <c r="AA71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71" s="12" t="s">
        <v>762</v>
      </c>
      <c r="AC71" s="12" t="s">
        <v>762</v>
      </c>
      <c r="AD71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71" s="12" t="s">
        <v>762</v>
      </c>
      <c r="AF71" s="12" t="s">
        <v>762</v>
      </c>
      <c r="AG71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71" s="12" t="s">
        <v>762</v>
      </c>
      <c r="AI71" s="12" t="s">
        <v>762</v>
      </c>
      <c r="AJ71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71" s="12" t="s">
        <v>762</v>
      </c>
      <c r="AL71" s="12"/>
      <c r="AM71" s="12"/>
      <c r="AN71" s="12"/>
      <c r="AO71" s="12" t="s">
        <v>66</v>
      </c>
      <c r="AP71" s="12"/>
      <c r="AQ71" s="12"/>
      <c r="AR71" s="14"/>
      <c r="AS71" s="14"/>
      <c r="AT71" s="13">
        <v>43510</v>
      </c>
      <c r="AU71" s="14"/>
    </row>
    <row r="72" spans="1:47" ht="18.75" x14ac:dyDescent="0.3">
      <c r="A72" s="12" t="s">
        <v>657</v>
      </c>
      <c r="B72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TK831833</v>
      </c>
      <c r="C72" s="12" t="s">
        <v>658</v>
      </c>
      <c r="D72" s="12" t="s">
        <v>659</v>
      </c>
      <c r="E72" s="12" t="s">
        <v>68</v>
      </c>
      <c r="F72" s="13">
        <v>43510</v>
      </c>
      <c r="G72" s="13">
        <v>43510</v>
      </c>
      <c r="H72" s="12" t="s">
        <v>36</v>
      </c>
      <c r="I72" s="13">
        <v>43654</v>
      </c>
      <c r="J72" s="12" t="s">
        <v>66</v>
      </c>
      <c r="K72" s="12" t="s">
        <v>34</v>
      </c>
      <c r="L72" s="14">
        <v>3</v>
      </c>
      <c r="M72" s="14">
        <v>9</v>
      </c>
      <c r="N72" s="14">
        <v>2</v>
      </c>
      <c r="O72" s="14"/>
      <c r="P72" s="14"/>
      <c r="Q72" s="12" t="s">
        <v>30</v>
      </c>
      <c r="R72" s="12" t="s">
        <v>30</v>
      </c>
      <c r="S72" s="12" t="s">
        <v>33</v>
      </c>
      <c r="T72" s="12" t="s">
        <v>1026</v>
      </c>
      <c r="U72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297552 Verified</v>
      </c>
      <c r="V72" s="12" t="s">
        <v>784</v>
      </c>
      <c r="W72" s="12" t="s">
        <v>762</v>
      </c>
      <c r="X72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72" s="12" t="s">
        <v>762</v>
      </c>
      <c r="Z72" s="12" t="s">
        <v>762</v>
      </c>
      <c r="AA72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72" s="12" t="s">
        <v>762</v>
      </c>
      <c r="AC72" s="12" t="s">
        <v>762</v>
      </c>
      <c r="AD72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72" s="12" t="s">
        <v>762</v>
      </c>
      <c r="AF72" s="12" t="s">
        <v>762</v>
      </c>
      <c r="AG72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72" s="12" t="s">
        <v>762</v>
      </c>
      <c r="AI72" s="12" t="s">
        <v>762</v>
      </c>
      <c r="AJ72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72" s="12" t="s">
        <v>762</v>
      </c>
      <c r="AL72" s="12"/>
      <c r="AM72" s="12"/>
      <c r="AN72" s="12"/>
      <c r="AO72" s="12" t="s">
        <v>66</v>
      </c>
      <c r="AP72" s="12"/>
      <c r="AQ72" s="12"/>
      <c r="AR72" s="14"/>
      <c r="AS72" s="14"/>
      <c r="AT72" s="13">
        <v>43510</v>
      </c>
      <c r="AU72" s="14"/>
    </row>
    <row r="73" spans="1:47" ht="18.75" x14ac:dyDescent="0.3">
      <c r="A73" s="12" t="s">
        <v>277</v>
      </c>
      <c r="B73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TK827463</v>
      </c>
      <c r="C73" s="12" t="s">
        <v>278</v>
      </c>
      <c r="D73" s="12" t="s">
        <v>279</v>
      </c>
      <c r="E73" s="12" t="s">
        <v>261</v>
      </c>
      <c r="F73" s="13">
        <v>43511</v>
      </c>
      <c r="G73" s="13">
        <v>43511</v>
      </c>
      <c r="H73" s="12" t="s">
        <v>36</v>
      </c>
      <c r="I73" s="13">
        <v>43548</v>
      </c>
      <c r="J73" s="12" t="s">
        <v>66</v>
      </c>
      <c r="K73" s="12" t="s">
        <v>34</v>
      </c>
      <c r="L73" s="14">
        <v>3</v>
      </c>
      <c r="M73" s="14">
        <v>34.5</v>
      </c>
      <c r="N73" s="14">
        <v>3</v>
      </c>
      <c r="O73" s="14"/>
      <c r="P73" s="14"/>
      <c r="Q73" s="12" t="s">
        <v>30</v>
      </c>
      <c r="R73" s="12" t="s">
        <v>30</v>
      </c>
      <c r="S73" s="12" t="s">
        <v>33</v>
      </c>
      <c r="T73" s="12" t="s">
        <v>1029</v>
      </c>
      <c r="U73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296743 RTV</v>
      </c>
      <c r="V73" s="12" t="s">
        <v>786</v>
      </c>
      <c r="W73" s="12" t="s">
        <v>762</v>
      </c>
      <c r="X73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73" s="12" t="s">
        <v>762</v>
      </c>
      <c r="Z73" s="12" t="s">
        <v>762</v>
      </c>
      <c r="AA73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73" s="12" t="s">
        <v>762</v>
      </c>
      <c r="AC73" s="12" t="s">
        <v>762</v>
      </c>
      <c r="AD73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73" s="12" t="s">
        <v>762</v>
      </c>
      <c r="AF73" s="12" t="s">
        <v>762</v>
      </c>
      <c r="AG73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73" s="12" t="s">
        <v>762</v>
      </c>
      <c r="AI73" s="12" t="s">
        <v>762</v>
      </c>
      <c r="AJ73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73" s="12" t="s">
        <v>762</v>
      </c>
      <c r="AL73" s="12"/>
      <c r="AM73" s="12"/>
      <c r="AN73" s="12"/>
      <c r="AO73" s="12" t="s">
        <v>66</v>
      </c>
      <c r="AP73" s="12" t="s">
        <v>66</v>
      </c>
      <c r="AQ73" s="12"/>
      <c r="AR73" s="14"/>
      <c r="AS73" s="14"/>
      <c r="AT73" s="13">
        <v>43510</v>
      </c>
      <c r="AU73" s="14" t="s">
        <v>831</v>
      </c>
    </row>
    <row r="74" spans="1:47" ht="18.75" x14ac:dyDescent="0.3">
      <c r="A74" s="12" t="s">
        <v>108</v>
      </c>
      <c r="B74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TK826564</v>
      </c>
      <c r="C74" s="12" t="s">
        <v>109</v>
      </c>
      <c r="D74" s="12" t="s">
        <v>110</v>
      </c>
      <c r="E74" s="12" t="s">
        <v>74</v>
      </c>
      <c r="F74" s="13">
        <v>43511</v>
      </c>
      <c r="G74" s="13">
        <v>43511</v>
      </c>
      <c r="H74" s="12" t="s">
        <v>36</v>
      </c>
      <c r="I74" s="13">
        <v>43555</v>
      </c>
      <c r="J74" s="12" t="s">
        <v>66</v>
      </c>
      <c r="K74" s="12" t="s">
        <v>34</v>
      </c>
      <c r="L74" s="14">
        <v>3</v>
      </c>
      <c r="M74" s="14">
        <v>34.5</v>
      </c>
      <c r="N74" s="14">
        <v>3</v>
      </c>
      <c r="O74" s="14"/>
      <c r="P74" s="14"/>
      <c r="Q74" s="12" t="s">
        <v>30</v>
      </c>
      <c r="R74" s="12" t="s">
        <v>30</v>
      </c>
      <c r="S74" s="12" t="s">
        <v>33</v>
      </c>
      <c r="T74" s="12" t="s">
        <v>1003</v>
      </c>
      <c r="U74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266222 RTV</v>
      </c>
      <c r="V74" s="12" t="s">
        <v>786</v>
      </c>
      <c r="W74" s="12" t="s">
        <v>762</v>
      </c>
      <c r="X74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74" s="12" t="s">
        <v>762</v>
      </c>
      <c r="Z74" s="12" t="s">
        <v>762</v>
      </c>
      <c r="AA74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74" s="12" t="s">
        <v>762</v>
      </c>
      <c r="AC74" s="12" t="s">
        <v>762</v>
      </c>
      <c r="AD74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74" s="12" t="s">
        <v>762</v>
      </c>
      <c r="AF74" s="12" t="s">
        <v>762</v>
      </c>
      <c r="AG74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74" s="12" t="s">
        <v>762</v>
      </c>
      <c r="AI74" s="12" t="s">
        <v>762</v>
      </c>
      <c r="AJ74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74" s="12" t="s">
        <v>762</v>
      </c>
      <c r="AL74" s="12"/>
      <c r="AM74" s="12"/>
      <c r="AN74" s="12"/>
      <c r="AO74" s="12" t="s">
        <v>66</v>
      </c>
      <c r="AP74" s="12" t="s">
        <v>66</v>
      </c>
      <c r="AQ74" s="12"/>
      <c r="AR74" s="14"/>
      <c r="AS74" s="14"/>
      <c r="AT74" s="13">
        <v>43510</v>
      </c>
      <c r="AU74" s="14" t="s">
        <v>831</v>
      </c>
    </row>
    <row r="75" spans="1:47" ht="18.75" x14ac:dyDescent="0.3">
      <c r="A75" s="12" t="s">
        <v>661</v>
      </c>
      <c r="B75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TK868485</v>
      </c>
      <c r="C75" s="12" t="s">
        <v>662</v>
      </c>
      <c r="D75" s="12" t="s">
        <v>300</v>
      </c>
      <c r="E75" s="12" t="s">
        <v>663</v>
      </c>
      <c r="F75" s="13">
        <v>43512</v>
      </c>
      <c r="G75" s="13">
        <v>43512</v>
      </c>
      <c r="H75" s="12" t="s">
        <v>36</v>
      </c>
      <c r="I75" s="13">
        <v>43556</v>
      </c>
      <c r="J75" s="12" t="s">
        <v>66</v>
      </c>
      <c r="K75" s="12" t="s">
        <v>34</v>
      </c>
      <c r="L75" s="14">
        <v>3</v>
      </c>
      <c r="M75" s="14">
        <v>24</v>
      </c>
      <c r="N75" s="14">
        <v>3</v>
      </c>
      <c r="O75" s="14"/>
      <c r="P75" s="14"/>
      <c r="Q75" s="12" t="s">
        <v>30</v>
      </c>
      <c r="R75" s="12" t="s">
        <v>30</v>
      </c>
      <c r="S75" s="12" t="s">
        <v>33</v>
      </c>
      <c r="T75" s="12" t="s">
        <v>1031</v>
      </c>
      <c r="U75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295975 RTV</v>
      </c>
      <c r="V75" s="12" t="s">
        <v>786</v>
      </c>
      <c r="W75" s="12" t="s">
        <v>762</v>
      </c>
      <c r="X75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75" s="12" t="s">
        <v>762</v>
      </c>
      <c r="Z75" s="12" t="s">
        <v>762</v>
      </c>
      <c r="AA75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75" s="12" t="s">
        <v>762</v>
      </c>
      <c r="AC75" s="12" t="s">
        <v>762</v>
      </c>
      <c r="AD75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75" s="12" t="s">
        <v>762</v>
      </c>
      <c r="AF75" s="12" t="s">
        <v>762</v>
      </c>
      <c r="AG75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75" s="12" t="s">
        <v>762</v>
      </c>
      <c r="AI75" s="12" t="s">
        <v>762</v>
      </c>
      <c r="AJ75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75" s="12" t="s">
        <v>762</v>
      </c>
      <c r="AL75" s="12"/>
      <c r="AM75" s="12"/>
      <c r="AN75" s="12"/>
      <c r="AO75" s="12" t="s">
        <v>66</v>
      </c>
      <c r="AP75" s="12" t="s">
        <v>66</v>
      </c>
      <c r="AQ75" s="12"/>
      <c r="AR75" s="14"/>
      <c r="AS75" s="14"/>
      <c r="AT75" s="13">
        <v>43510</v>
      </c>
      <c r="AU75" s="14" t="s">
        <v>830</v>
      </c>
    </row>
    <row r="76" spans="1:47" ht="18.75" x14ac:dyDescent="0.3">
      <c r="A76" s="12" t="s">
        <v>114</v>
      </c>
      <c r="B76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TK826550</v>
      </c>
      <c r="C76" s="12" t="s">
        <v>115</v>
      </c>
      <c r="D76" s="12" t="s">
        <v>116</v>
      </c>
      <c r="E76" s="12" t="s">
        <v>74</v>
      </c>
      <c r="F76" s="13">
        <v>43512</v>
      </c>
      <c r="G76" s="13">
        <v>43512</v>
      </c>
      <c r="H76" s="12" t="s">
        <v>57</v>
      </c>
      <c r="I76" s="13">
        <v>43555</v>
      </c>
      <c r="J76" s="12" t="s">
        <v>66</v>
      </c>
      <c r="K76" s="12" t="s">
        <v>29</v>
      </c>
      <c r="L76" s="14">
        <v>3</v>
      </c>
      <c r="M76" s="14">
        <v>30</v>
      </c>
      <c r="N76" s="14">
        <v>3</v>
      </c>
      <c r="O76" s="14"/>
      <c r="P76" s="14"/>
      <c r="Q76" s="12" t="s">
        <v>42</v>
      </c>
      <c r="R76" s="12" t="s">
        <v>42</v>
      </c>
      <c r="S76" s="12" t="s">
        <v>33</v>
      </c>
      <c r="T76" s="12" t="s">
        <v>1032</v>
      </c>
      <c r="U76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265653 Draft</v>
      </c>
      <c r="V76" s="12" t="s">
        <v>787</v>
      </c>
      <c r="W76" s="12" t="s">
        <v>1033</v>
      </c>
      <c r="X76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>266234 TRA</v>
      </c>
      <c r="Y76" s="12" t="s">
        <v>781</v>
      </c>
      <c r="Z76" s="12" t="s">
        <v>762</v>
      </c>
      <c r="AA76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76" s="12" t="s">
        <v>762</v>
      </c>
      <c r="AC76" s="12" t="s">
        <v>762</v>
      </c>
      <c r="AD76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76" s="12" t="s">
        <v>762</v>
      </c>
      <c r="AF76" s="12" t="s">
        <v>762</v>
      </c>
      <c r="AG76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76" s="12" t="s">
        <v>762</v>
      </c>
      <c r="AI76" s="12" t="s">
        <v>762</v>
      </c>
      <c r="AJ76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76" s="12" t="s">
        <v>762</v>
      </c>
      <c r="AL76" s="12" t="s">
        <v>660</v>
      </c>
      <c r="AM76" s="12" t="s">
        <v>67</v>
      </c>
      <c r="AN76" s="12"/>
      <c r="AO76" s="12" t="s">
        <v>66</v>
      </c>
      <c r="AP76" s="12"/>
      <c r="AQ76" s="12"/>
      <c r="AR76" s="14"/>
      <c r="AS76" s="14"/>
      <c r="AT76" s="13">
        <v>43510</v>
      </c>
      <c r="AU76" s="14" t="s">
        <v>825</v>
      </c>
    </row>
    <row r="77" spans="1:47" ht="18.75" x14ac:dyDescent="0.3">
      <c r="A77" s="12" t="s">
        <v>123</v>
      </c>
      <c r="B77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TK826568</v>
      </c>
      <c r="C77" s="12" t="s">
        <v>124</v>
      </c>
      <c r="D77" s="12" t="s">
        <v>125</v>
      </c>
      <c r="E77" s="12" t="s">
        <v>74</v>
      </c>
      <c r="F77" s="13">
        <v>43513</v>
      </c>
      <c r="G77" s="13">
        <v>43513</v>
      </c>
      <c r="H77" s="12" t="s">
        <v>36</v>
      </c>
      <c r="I77" s="13">
        <v>43555</v>
      </c>
      <c r="J77" s="12" t="s">
        <v>66</v>
      </c>
      <c r="K77" s="12" t="s">
        <v>34</v>
      </c>
      <c r="L77" s="14">
        <v>3</v>
      </c>
      <c r="M77" s="14">
        <v>18</v>
      </c>
      <c r="N77" s="14">
        <v>3</v>
      </c>
      <c r="O77" s="14"/>
      <c r="P77" s="14"/>
      <c r="Q77" s="12" t="s">
        <v>30</v>
      </c>
      <c r="R77" s="12" t="s">
        <v>30</v>
      </c>
      <c r="S77" s="12" t="s">
        <v>33</v>
      </c>
      <c r="T77" s="12" t="s">
        <v>1003</v>
      </c>
      <c r="U77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266222 RTV</v>
      </c>
      <c r="V77" s="12" t="s">
        <v>786</v>
      </c>
      <c r="W77" s="12" t="s">
        <v>762</v>
      </c>
      <c r="X77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77" s="12" t="s">
        <v>762</v>
      </c>
      <c r="Z77" s="12" t="s">
        <v>762</v>
      </c>
      <c r="AA77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77" s="12" t="s">
        <v>762</v>
      </c>
      <c r="AC77" s="12" t="s">
        <v>762</v>
      </c>
      <c r="AD77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77" s="12" t="s">
        <v>762</v>
      </c>
      <c r="AF77" s="12" t="s">
        <v>762</v>
      </c>
      <c r="AG77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77" s="12" t="s">
        <v>762</v>
      </c>
      <c r="AI77" s="12" t="s">
        <v>762</v>
      </c>
      <c r="AJ77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77" s="12" t="s">
        <v>762</v>
      </c>
      <c r="AL77" s="12"/>
      <c r="AM77" s="12"/>
      <c r="AN77" s="12"/>
      <c r="AO77" s="12" t="s">
        <v>66</v>
      </c>
      <c r="AP77" s="12" t="s">
        <v>66</v>
      </c>
      <c r="AQ77" s="12"/>
      <c r="AR77" s="14"/>
      <c r="AS77" s="14"/>
      <c r="AT77" s="13">
        <v>43510</v>
      </c>
      <c r="AU77" s="14" t="s">
        <v>831</v>
      </c>
    </row>
    <row r="78" spans="1:47" ht="18.75" x14ac:dyDescent="0.3">
      <c r="A78" s="12" t="s">
        <v>664</v>
      </c>
      <c r="B78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TK868440</v>
      </c>
      <c r="C78" s="12" t="s">
        <v>665</v>
      </c>
      <c r="D78" s="12" t="s">
        <v>301</v>
      </c>
      <c r="E78" s="12" t="s">
        <v>35</v>
      </c>
      <c r="F78" s="13">
        <v>43513</v>
      </c>
      <c r="G78" s="13">
        <v>43513</v>
      </c>
      <c r="H78" s="12" t="s">
        <v>36</v>
      </c>
      <c r="I78" s="13">
        <v>43556</v>
      </c>
      <c r="J78" s="12" t="s">
        <v>66</v>
      </c>
      <c r="K78" s="12" t="s">
        <v>29</v>
      </c>
      <c r="L78" s="14">
        <v>3</v>
      </c>
      <c r="M78" s="14">
        <v>18</v>
      </c>
      <c r="N78" s="14">
        <v>3</v>
      </c>
      <c r="O78" s="14"/>
      <c r="P78" s="14"/>
      <c r="Q78" s="12" t="s">
        <v>30</v>
      </c>
      <c r="R78" s="12" t="s">
        <v>30</v>
      </c>
      <c r="S78" s="12" t="s">
        <v>33</v>
      </c>
      <c r="T78" s="12" t="s">
        <v>1034</v>
      </c>
      <c r="U78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295257 Verified</v>
      </c>
      <c r="V78" s="12" t="s">
        <v>785</v>
      </c>
      <c r="W78" s="12" t="s">
        <v>762</v>
      </c>
      <c r="X78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78" s="12" t="s">
        <v>762</v>
      </c>
      <c r="Z78" s="12" t="s">
        <v>762</v>
      </c>
      <c r="AA78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78" s="12" t="s">
        <v>762</v>
      </c>
      <c r="AC78" s="12" t="s">
        <v>762</v>
      </c>
      <c r="AD78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78" s="12" t="s">
        <v>762</v>
      </c>
      <c r="AF78" s="12" t="s">
        <v>762</v>
      </c>
      <c r="AG78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78" s="12" t="s">
        <v>762</v>
      </c>
      <c r="AI78" s="12" t="s">
        <v>762</v>
      </c>
      <c r="AJ78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78" s="12" t="s">
        <v>762</v>
      </c>
      <c r="AL78" s="12"/>
      <c r="AM78" s="12"/>
      <c r="AN78" s="12"/>
      <c r="AO78" s="12" t="s">
        <v>66</v>
      </c>
      <c r="AP78" s="12" t="s">
        <v>66</v>
      </c>
      <c r="AQ78" s="12"/>
      <c r="AR78" s="14"/>
      <c r="AS78" s="14"/>
      <c r="AT78" s="13">
        <v>43510</v>
      </c>
      <c r="AU78" s="14"/>
    </row>
    <row r="79" spans="1:47" ht="18.75" x14ac:dyDescent="0.3">
      <c r="A79" s="12" t="s">
        <v>283</v>
      </c>
      <c r="B79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TK833226</v>
      </c>
      <c r="C79" s="12" t="s">
        <v>284</v>
      </c>
      <c r="D79" s="12" t="s">
        <v>285</v>
      </c>
      <c r="E79" s="12" t="s">
        <v>286</v>
      </c>
      <c r="F79" s="13">
        <v>43514</v>
      </c>
      <c r="G79" s="13">
        <v>43514</v>
      </c>
      <c r="H79" s="12" t="s">
        <v>36</v>
      </c>
      <c r="I79" s="13">
        <v>43531</v>
      </c>
      <c r="J79" s="12" t="s">
        <v>66</v>
      </c>
      <c r="K79" s="12" t="s">
        <v>29</v>
      </c>
      <c r="L79" s="14">
        <v>3</v>
      </c>
      <c r="M79" s="14">
        <v>18</v>
      </c>
      <c r="N79" s="14">
        <v>3</v>
      </c>
      <c r="O79" s="14"/>
      <c r="P79" s="14"/>
      <c r="Q79" s="12" t="s">
        <v>42</v>
      </c>
      <c r="R79" s="12" t="s">
        <v>30</v>
      </c>
      <c r="S79" s="12" t="s">
        <v>33</v>
      </c>
      <c r="T79" s="12" t="s">
        <v>1035</v>
      </c>
      <c r="U79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289619 Draft</v>
      </c>
      <c r="V79" s="12" t="s">
        <v>787</v>
      </c>
      <c r="W79" s="12" t="s">
        <v>762</v>
      </c>
      <c r="X79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79" s="12" t="s">
        <v>762</v>
      </c>
      <c r="Z79" s="12" t="s">
        <v>762</v>
      </c>
      <c r="AA79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79" s="12" t="s">
        <v>762</v>
      </c>
      <c r="AC79" s="12" t="s">
        <v>762</v>
      </c>
      <c r="AD79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79" s="12" t="s">
        <v>762</v>
      </c>
      <c r="AF79" s="12" t="s">
        <v>762</v>
      </c>
      <c r="AG79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79" s="12" t="s">
        <v>762</v>
      </c>
      <c r="AI79" s="12" t="s">
        <v>762</v>
      </c>
      <c r="AJ79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79" s="12" t="s">
        <v>762</v>
      </c>
      <c r="AL79" s="12"/>
      <c r="AM79" s="12"/>
      <c r="AN79" s="12"/>
      <c r="AO79" s="12" t="s">
        <v>66</v>
      </c>
      <c r="AP79" s="12"/>
      <c r="AQ79" s="12"/>
      <c r="AR79" s="14"/>
      <c r="AS79" s="14"/>
      <c r="AT79" s="13">
        <v>43510</v>
      </c>
      <c r="AU79" s="14"/>
    </row>
    <row r="80" spans="1:47" ht="18.75" x14ac:dyDescent="0.3">
      <c r="A80" s="12" t="s">
        <v>130</v>
      </c>
      <c r="B80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TK826573</v>
      </c>
      <c r="C80" s="12" t="s">
        <v>131</v>
      </c>
      <c r="D80" s="12" t="s">
        <v>132</v>
      </c>
      <c r="E80" s="12" t="s">
        <v>74</v>
      </c>
      <c r="F80" s="13">
        <v>43514</v>
      </c>
      <c r="G80" s="13">
        <v>43514</v>
      </c>
      <c r="H80" s="12" t="s">
        <v>36</v>
      </c>
      <c r="I80" s="13">
        <v>43555</v>
      </c>
      <c r="J80" s="12" t="s">
        <v>66</v>
      </c>
      <c r="K80" s="12" t="s">
        <v>34</v>
      </c>
      <c r="L80" s="14">
        <v>3</v>
      </c>
      <c r="M80" s="14">
        <v>34.5</v>
      </c>
      <c r="N80" s="14">
        <v>3</v>
      </c>
      <c r="O80" s="14"/>
      <c r="P80" s="14"/>
      <c r="Q80" s="12" t="s">
        <v>30</v>
      </c>
      <c r="R80" s="12" t="s">
        <v>30</v>
      </c>
      <c r="S80" s="12" t="s">
        <v>33</v>
      </c>
      <c r="T80" s="12" t="s">
        <v>1003</v>
      </c>
      <c r="U80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266222 RTV</v>
      </c>
      <c r="V80" s="12" t="s">
        <v>786</v>
      </c>
      <c r="W80" s="12" t="s">
        <v>762</v>
      </c>
      <c r="X80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80" s="12" t="s">
        <v>762</v>
      </c>
      <c r="Z80" s="12" t="s">
        <v>762</v>
      </c>
      <c r="AA80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80" s="12" t="s">
        <v>762</v>
      </c>
      <c r="AC80" s="12" t="s">
        <v>762</v>
      </c>
      <c r="AD80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80" s="12" t="s">
        <v>762</v>
      </c>
      <c r="AF80" s="12" t="s">
        <v>762</v>
      </c>
      <c r="AG80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80" s="12" t="s">
        <v>762</v>
      </c>
      <c r="AI80" s="12" t="s">
        <v>762</v>
      </c>
      <c r="AJ80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80" s="12" t="s">
        <v>762</v>
      </c>
      <c r="AL80" s="12"/>
      <c r="AM80" s="12"/>
      <c r="AN80" s="12"/>
      <c r="AO80" s="12" t="s">
        <v>66</v>
      </c>
      <c r="AP80" s="12" t="s">
        <v>66</v>
      </c>
      <c r="AQ80" s="12"/>
      <c r="AR80" s="14"/>
      <c r="AS80" s="14"/>
      <c r="AT80" s="13">
        <v>43510</v>
      </c>
      <c r="AU80" s="14" t="s">
        <v>831</v>
      </c>
    </row>
    <row r="81" spans="1:47" ht="18.75" x14ac:dyDescent="0.3">
      <c r="A81" s="12" t="s">
        <v>666</v>
      </c>
      <c r="B81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TK868483</v>
      </c>
      <c r="C81" s="12" t="s">
        <v>667</v>
      </c>
      <c r="D81" s="12" t="s">
        <v>306</v>
      </c>
      <c r="E81" s="12" t="s">
        <v>663</v>
      </c>
      <c r="F81" s="13">
        <v>43515</v>
      </c>
      <c r="G81" s="13">
        <v>43515</v>
      </c>
      <c r="H81" s="12" t="s">
        <v>36</v>
      </c>
      <c r="I81" s="13">
        <v>43556</v>
      </c>
      <c r="J81" s="12" t="s">
        <v>66</v>
      </c>
      <c r="K81" s="12" t="s">
        <v>34</v>
      </c>
      <c r="L81" s="14">
        <v>3</v>
      </c>
      <c r="M81" s="14">
        <v>18</v>
      </c>
      <c r="N81" s="14">
        <v>3</v>
      </c>
      <c r="O81" s="14"/>
      <c r="P81" s="14"/>
      <c r="Q81" s="12" t="s">
        <v>30</v>
      </c>
      <c r="R81" s="12" t="s">
        <v>30</v>
      </c>
      <c r="S81" s="12" t="s">
        <v>33</v>
      </c>
      <c r="T81" s="12" t="s">
        <v>1031</v>
      </c>
      <c r="U81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295975 RTV</v>
      </c>
      <c r="V81" s="12" t="s">
        <v>786</v>
      </c>
      <c r="W81" s="12" t="s">
        <v>762</v>
      </c>
      <c r="X81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81" s="12" t="s">
        <v>762</v>
      </c>
      <c r="Z81" s="12" t="s">
        <v>762</v>
      </c>
      <c r="AA81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81" s="12" t="s">
        <v>762</v>
      </c>
      <c r="AC81" s="12" t="s">
        <v>762</v>
      </c>
      <c r="AD81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81" s="12" t="s">
        <v>762</v>
      </c>
      <c r="AF81" s="12" t="s">
        <v>762</v>
      </c>
      <c r="AG81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81" s="12" t="s">
        <v>762</v>
      </c>
      <c r="AI81" s="12" t="s">
        <v>762</v>
      </c>
      <c r="AJ81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81" s="12" t="s">
        <v>762</v>
      </c>
      <c r="AL81" s="12"/>
      <c r="AM81" s="12"/>
      <c r="AN81" s="12"/>
      <c r="AO81" s="12" t="s">
        <v>66</v>
      </c>
      <c r="AP81" s="12" t="s">
        <v>66</v>
      </c>
      <c r="AQ81" s="12"/>
      <c r="AR81" s="14"/>
      <c r="AS81" s="14"/>
      <c r="AT81" s="13">
        <v>43510</v>
      </c>
      <c r="AU81" s="14" t="s">
        <v>830</v>
      </c>
    </row>
    <row r="82" spans="1:47" ht="18.75" x14ac:dyDescent="0.3">
      <c r="A82" s="12" t="s">
        <v>71</v>
      </c>
      <c r="B82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TK832579</v>
      </c>
      <c r="C82" s="12" t="s">
        <v>72</v>
      </c>
      <c r="D82" s="12" t="s">
        <v>73</v>
      </c>
      <c r="E82" s="12" t="s">
        <v>74</v>
      </c>
      <c r="F82" s="13">
        <v>43515</v>
      </c>
      <c r="G82" s="13">
        <v>43515</v>
      </c>
      <c r="H82" s="12" t="s">
        <v>36</v>
      </c>
      <c r="I82" s="13">
        <v>43556</v>
      </c>
      <c r="J82" s="12" t="s">
        <v>66</v>
      </c>
      <c r="K82" s="12" t="s">
        <v>34</v>
      </c>
      <c r="L82" s="14">
        <v>3</v>
      </c>
      <c r="M82" s="14">
        <v>34.5</v>
      </c>
      <c r="N82" s="14">
        <v>3</v>
      </c>
      <c r="O82" s="14"/>
      <c r="P82" s="14"/>
      <c r="Q82" s="12" t="s">
        <v>30</v>
      </c>
      <c r="R82" s="12" t="s">
        <v>30</v>
      </c>
      <c r="S82" s="12" t="s">
        <v>37</v>
      </c>
      <c r="T82" s="12" t="s">
        <v>1003</v>
      </c>
      <c r="U82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266222 RTV</v>
      </c>
      <c r="V82" s="12" t="s">
        <v>786</v>
      </c>
      <c r="W82" s="12" t="s">
        <v>762</v>
      </c>
      <c r="X82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82" s="12" t="s">
        <v>762</v>
      </c>
      <c r="Z82" s="12" t="s">
        <v>762</v>
      </c>
      <c r="AA82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82" s="12" t="s">
        <v>762</v>
      </c>
      <c r="AC82" s="12" t="s">
        <v>762</v>
      </c>
      <c r="AD82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82" s="12" t="s">
        <v>762</v>
      </c>
      <c r="AF82" s="12" t="s">
        <v>762</v>
      </c>
      <c r="AG82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82" s="12" t="s">
        <v>762</v>
      </c>
      <c r="AI82" s="12" t="s">
        <v>762</v>
      </c>
      <c r="AJ82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82" s="12" t="s">
        <v>762</v>
      </c>
      <c r="AL82" s="12"/>
      <c r="AM82" s="12"/>
      <c r="AN82" s="12"/>
      <c r="AO82" s="12" t="s">
        <v>66</v>
      </c>
      <c r="AP82" s="12"/>
      <c r="AQ82" s="12"/>
      <c r="AR82" s="14"/>
      <c r="AS82" s="14"/>
      <c r="AT82" s="13">
        <v>43510</v>
      </c>
      <c r="AU82" s="14" t="s">
        <v>831</v>
      </c>
    </row>
    <row r="83" spans="1:47" ht="18.75" x14ac:dyDescent="0.3">
      <c r="A83" s="12" t="s">
        <v>287</v>
      </c>
      <c r="B83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TK833228</v>
      </c>
      <c r="C83" s="12" t="s">
        <v>288</v>
      </c>
      <c r="D83" s="12" t="s">
        <v>289</v>
      </c>
      <c r="E83" s="12" t="s">
        <v>286</v>
      </c>
      <c r="F83" s="13">
        <v>43515</v>
      </c>
      <c r="G83" s="13">
        <v>43515</v>
      </c>
      <c r="H83" s="12" t="s">
        <v>36</v>
      </c>
      <c r="I83" s="13">
        <v>43531</v>
      </c>
      <c r="J83" s="12" t="s">
        <v>66</v>
      </c>
      <c r="K83" s="12" t="s">
        <v>34</v>
      </c>
      <c r="L83" s="14">
        <v>3</v>
      </c>
      <c r="M83" s="14">
        <v>15</v>
      </c>
      <c r="N83" s="14">
        <v>3</v>
      </c>
      <c r="O83" s="14"/>
      <c r="P83" s="14"/>
      <c r="Q83" s="12" t="s">
        <v>30</v>
      </c>
      <c r="R83" s="12" t="s">
        <v>30</v>
      </c>
      <c r="S83" s="12" t="s">
        <v>33</v>
      </c>
      <c r="T83" s="12" t="s">
        <v>1036</v>
      </c>
      <c r="U83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296832 RTV</v>
      </c>
      <c r="V83" s="12" t="s">
        <v>786</v>
      </c>
      <c r="W83" s="12" t="s">
        <v>762</v>
      </c>
      <c r="X83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83" s="12" t="s">
        <v>762</v>
      </c>
      <c r="Z83" s="12" t="s">
        <v>762</v>
      </c>
      <c r="AA83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83" s="12" t="s">
        <v>762</v>
      </c>
      <c r="AC83" s="12" t="s">
        <v>762</v>
      </c>
      <c r="AD83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83" s="12" t="s">
        <v>762</v>
      </c>
      <c r="AF83" s="12" t="s">
        <v>762</v>
      </c>
      <c r="AG83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83" s="12" t="s">
        <v>762</v>
      </c>
      <c r="AI83" s="12" t="s">
        <v>762</v>
      </c>
      <c r="AJ83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83" s="12" t="s">
        <v>762</v>
      </c>
      <c r="AL83" s="12"/>
      <c r="AM83" s="12"/>
      <c r="AN83" s="12"/>
      <c r="AO83" s="12" t="s">
        <v>66</v>
      </c>
      <c r="AP83" s="12"/>
      <c r="AQ83" s="12"/>
      <c r="AR83" s="14"/>
      <c r="AS83" s="14"/>
      <c r="AT83" s="13">
        <v>43510</v>
      </c>
      <c r="AU83" s="14"/>
    </row>
    <row r="84" spans="1:47" ht="18.75" x14ac:dyDescent="0.3">
      <c r="A84" s="12" t="s">
        <v>668</v>
      </c>
      <c r="B84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TK863072</v>
      </c>
      <c r="C84" s="12" t="s">
        <v>669</v>
      </c>
      <c r="D84" s="12" t="s">
        <v>670</v>
      </c>
      <c r="E84" s="12" t="s">
        <v>671</v>
      </c>
      <c r="F84" s="13">
        <v>43515</v>
      </c>
      <c r="G84" s="13">
        <v>43515</v>
      </c>
      <c r="H84" s="12" t="s">
        <v>36</v>
      </c>
      <c r="I84" s="13">
        <v>43556</v>
      </c>
      <c r="J84" s="12" t="s">
        <v>66</v>
      </c>
      <c r="K84" s="12" t="s">
        <v>34</v>
      </c>
      <c r="L84" s="14">
        <v>3</v>
      </c>
      <c r="M84" s="14">
        <v>18</v>
      </c>
      <c r="N84" s="14">
        <v>2</v>
      </c>
      <c r="O84" s="14"/>
      <c r="P84" s="14"/>
      <c r="Q84" s="12" t="s">
        <v>30</v>
      </c>
      <c r="R84" s="12" t="s">
        <v>30</v>
      </c>
      <c r="S84" s="12" t="s">
        <v>33</v>
      </c>
      <c r="T84" s="12" t="s">
        <v>1037</v>
      </c>
      <c r="U84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296217 TRA</v>
      </c>
      <c r="V84" s="12" t="s">
        <v>781</v>
      </c>
      <c r="W84" s="12" t="s">
        <v>1038</v>
      </c>
      <c r="X84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>296220 RTV</v>
      </c>
      <c r="Y84" s="12" t="s">
        <v>786</v>
      </c>
      <c r="Z84" s="12" t="s">
        <v>762</v>
      </c>
      <c r="AA84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84" s="12" t="s">
        <v>762</v>
      </c>
      <c r="AC84" s="12" t="s">
        <v>762</v>
      </c>
      <c r="AD84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84" s="12" t="s">
        <v>762</v>
      </c>
      <c r="AF84" s="12" t="s">
        <v>762</v>
      </c>
      <c r="AG84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84" s="12" t="s">
        <v>762</v>
      </c>
      <c r="AI84" s="12" t="s">
        <v>762</v>
      </c>
      <c r="AJ84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84" s="12" t="s">
        <v>762</v>
      </c>
      <c r="AL84" s="12" t="s">
        <v>660</v>
      </c>
      <c r="AM84" s="12" t="s">
        <v>67</v>
      </c>
      <c r="AN84" s="12"/>
      <c r="AO84" s="12" t="s">
        <v>66</v>
      </c>
      <c r="AP84" s="12"/>
      <c r="AQ84" s="12"/>
      <c r="AR84" s="14"/>
      <c r="AS84" s="14"/>
      <c r="AT84" s="13">
        <v>43510</v>
      </c>
      <c r="AU84" s="14" t="s">
        <v>833</v>
      </c>
    </row>
    <row r="85" spans="1:47" ht="18.75" x14ac:dyDescent="0.3">
      <c r="A85" s="12"/>
      <c r="B85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2/21/2019</v>
      </c>
      <c r="C85" s="12" t="s">
        <v>60</v>
      </c>
      <c r="D85" s="12"/>
      <c r="E85" s="12"/>
      <c r="F85" s="13"/>
      <c r="G85" s="13"/>
      <c r="H85" s="12"/>
      <c r="I85" s="13"/>
      <c r="J85" s="12"/>
      <c r="K85" s="12"/>
      <c r="L85" s="14"/>
      <c r="M85" s="14"/>
      <c r="N85" s="14"/>
      <c r="O85" s="14"/>
      <c r="P85" s="14"/>
      <c r="Q85" s="12"/>
      <c r="R85" s="12"/>
      <c r="S85" s="12"/>
      <c r="T85" s="12" t="s">
        <v>762</v>
      </c>
      <c r="U85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85" s="12" t="s">
        <v>762</v>
      </c>
      <c r="W85" s="12" t="s">
        <v>762</v>
      </c>
      <c r="X85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85" s="12" t="s">
        <v>762</v>
      </c>
      <c r="Z85" s="12" t="s">
        <v>762</v>
      </c>
      <c r="AA85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85" s="12" t="s">
        <v>762</v>
      </c>
      <c r="AC85" s="12" t="s">
        <v>762</v>
      </c>
      <c r="AD85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85" s="12" t="s">
        <v>762</v>
      </c>
      <c r="AF85" s="12" t="s">
        <v>762</v>
      </c>
      <c r="AG85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85" s="12" t="s">
        <v>762</v>
      </c>
      <c r="AI85" s="12" t="s">
        <v>762</v>
      </c>
      <c r="AJ85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85" s="12" t="s">
        <v>762</v>
      </c>
      <c r="AL85" s="12"/>
      <c r="AM85" s="12"/>
      <c r="AN85" s="12"/>
      <c r="AO85" s="12"/>
      <c r="AP85" s="12"/>
      <c r="AQ85" s="12"/>
      <c r="AR85" s="14"/>
      <c r="AS85" s="14"/>
      <c r="AT85" s="13">
        <v>43517</v>
      </c>
      <c r="AU85" s="14"/>
    </row>
    <row r="86" spans="1:47" ht="18.75" x14ac:dyDescent="0.3">
      <c r="A86" s="12" t="s">
        <v>78</v>
      </c>
      <c r="B86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TK836980</v>
      </c>
      <c r="C86" s="12" t="s">
        <v>79</v>
      </c>
      <c r="D86" s="12" t="s">
        <v>80</v>
      </c>
      <c r="E86" s="12" t="s">
        <v>74</v>
      </c>
      <c r="F86" s="13">
        <v>43516</v>
      </c>
      <c r="G86" s="13">
        <v>43516</v>
      </c>
      <c r="H86" s="12" t="s">
        <v>36</v>
      </c>
      <c r="I86" s="13">
        <v>43555</v>
      </c>
      <c r="J86" s="12" t="s">
        <v>66</v>
      </c>
      <c r="K86" s="12" t="s">
        <v>29</v>
      </c>
      <c r="L86" s="14">
        <v>3</v>
      </c>
      <c r="M86" s="14">
        <v>30</v>
      </c>
      <c r="N86" s="14">
        <v>3</v>
      </c>
      <c r="O86" s="14"/>
      <c r="P86" s="14"/>
      <c r="Q86" s="12" t="s">
        <v>42</v>
      </c>
      <c r="R86" s="12" t="s">
        <v>42</v>
      </c>
      <c r="S86" s="12" t="s">
        <v>37</v>
      </c>
      <c r="T86" s="12" t="s">
        <v>1039</v>
      </c>
      <c r="U86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265667 Draft</v>
      </c>
      <c r="V86" s="12" t="s">
        <v>787</v>
      </c>
      <c r="W86" s="12" t="s">
        <v>762</v>
      </c>
      <c r="X86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86" s="12" t="s">
        <v>762</v>
      </c>
      <c r="Z86" s="12" t="s">
        <v>762</v>
      </c>
      <c r="AA86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86" s="12" t="s">
        <v>762</v>
      </c>
      <c r="AC86" s="12" t="s">
        <v>762</v>
      </c>
      <c r="AD86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86" s="12" t="s">
        <v>762</v>
      </c>
      <c r="AF86" s="12" t="s">
        <v>762</v>
      </c>
      <c r="AG86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86" s="12" t="s">
        <v>762</v>
      </c>
      <c r="AI86" s="12" t="s">
        <v>762</v>
      </c>
      <c r="AJ86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86" s="12" t="s">
        <v>762</v>
      </c>
      <c r="AL86" s="12" t="s">
        <v>660</v>
      </c>
      <c r="AM86" s="12" t="s">
        <v>67</v>
      </c>
      <c r="AN86" s="12"/>
      <c r="AO86" s="12" t="s">
        <v>66</v>
      </c>
      <c r="AP86" s="12" t="s">
        <v>66</v>
      </c>
      <c r="AQ86" s="12"/>
      <c r="AR86" s="14"/>
      <c r="AS86" s="14"/>
      <c r="AT86" s="13">
        <v>43517</v>
      </c>
      <c r="AU86" s="14"/>
    </row>
    <row r="87" spans="1:47" ht="18.75" x14ac:dyDescent="0.3">
      <c r="A87" s="12" t="s">
        <v>290</v>
      </c>
      <c r="B87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TK867838</v>
      </c>
      <c r="C87" s="12" t="s">
        <v>291</v>
      </c>
      <c r="D87" s="12" t="s">
        <v>292</v>
      </c>
      <c r="E87" s="12" t="s">
        <v>35</v>
      </c>
      <c r="F87" s="13">
        <v>43516</v>
      </c>
      <c r="G87" s="13">
        <v>43517</v>
      </c>
      <c r="H87" s="12" t="s">
        <v>36</v>
      </c>
      <c r="I87" s="13">
        <v>43715</v>
      </c>
      <c r="J87" s="12" t="s">
        <v>66</v>
      </c>
      <c r="K87" s="12" t="s">
        <v>29</v>
      </c>
      <c r="L87" s="14">
        <v>3</v>
      </c>
      <c r="M87" s="14">
        <v>48</v>
      </c>
      <c r="N87" s="14">
        <v>2</v>
      </c>
      <c r="O87" s="14"/>
      <c r="P87" s="14"/>
      <c r="Q87" s="12" t="s">
        <v>30</v>
      </c>
      <c r="R87" s="12" t="s">
        <v>30</v>
      </c>
      <c r="S87" s="12" t="s">
        <v>33</v>
      </c>
      <c r="T87" s="12" t="s">
        <v>1040</v>
      </c>
      <c r="U87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294978 Verified</v>
      </c>
      <c r="V87" s="12" t="s">
        <v>785</v>
      </c>
      <c r="W87" s="12" t="s">
        <v>1041</v>
      </c>
      <c r="X87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>297078 RTV</v>
      </c>
      <c r="Y87" s="12" t="s">
        <v>786</v>
      </c>
      <c r="Z87" s="12" t="s">
        <v>762</v>
      </c>
      <c r="AA87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87" s="12" t="s">
        <v>762</v>
      </c>
      <c r="AC87" s="12" t="s">
        <v>762</v>
      </c>
      <c r="AD87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87" s="12" t="s">
        <v>762</v>
      </c>
      <c r="AF87" s="12" t="s">
        <v>762</v>
      </c>
      <c r="AG87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87" s="12" t="s">
        <v>762</v>
      </c>
      <c r="AI87" s="12" t="s">
        <v>762</v>
      </c>
      <c r="AJ87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87" s="12" t="s">
        <v>762</v>
      </c>
      <c r="AL87" s="12"/>
      <c r="AM87" s="12"/>
      <c r="AN87" s="12"/>
      <c r="AO87" s="12" t="s">
        <v>66</v>
      </c>
      <c r="AP87" s="12" t="s">
        <v>66</v>
      </c>
      <c r="AQ87" s="12"/>
      <c r="AR87" s="14"/>
      <c r="AS87" s="14"/>
      <c r="AT87" s="13">
        <v>43517</v>
      </c>
      <c r="AU87" s="14"/>
    </row>
    <row r="88" spans="1:47" ht="18.75" x14ac:dyDescent="0.3">
      <c r="A88" s="12" t="s">
        <v>674</v>
      </c>
      <c r="B88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TK863073</v>
      </c>
      <c r="C88" s="12" t="s">
        <v>675</v>
      </c>
      <c r="D88" s="12" t="s">
        <v>676</v>
      </c>
      <c r="E88" s="12" t="s">
        <v>671</v>
      </c>
      <c r="F88" s="13">
        <v>43516</v>
      </c>
      <c r="G88" s="13">
        <v>43517</v>
      </c>
      <c r="H88" s="12" t="s">
        <v>36</v>
      </c>
      <c r="I88" s="13">
        <v>43524</v>
      </c>
      <c r="J88" s="12" t="s">
        <v>66</v>
      </c>
      <c r="K88" s="12" t="s">
        <v>29</v>
      </c>
      <c r="L88" s="14">
        <v>3</v>
      </c>
      <c r="M88" s="14">
        <v>69</v>
      </c>
      <c r="N88" s="14">
        <v>2</v>
      </c>
      <c r="O88" s="14"/>
      <c r="P88" s="14"/>
      <c r="Q88" s="12" t="s">
        <v>30</v>
      </c>
      <c r="R88" s="12" t="s">
        <v>30</v>
      </c>
      <c r="S88" s="12" t="s">
        <v>33</v>
      </c>
      <c r="T88" s="12" t="s">
        <v>1037</v>
      </c>
      <c r="U88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296217 TRA</v>
      </c>
      <c r="V88" s="12" t="s">
        <v>781</v>
      </c>
      <c r="W88" s="12" t="s">
        <v>1038</v>
      </c>
      <c r="X88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>296220 RTV</v>
      </c>
      <c r="Y88" s="12" t="s">
        <v>786</v>
      </c>
      <c r="Z88" s="12" t="s">
        <v>762</v>
      </c>
      <c r="AA88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88" s="12" t="s">
        <v>762</v>
      </c>
      <c r="AC88" s="12" t="s">
        <v>762</v>
      </c>
      <c r="AD88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88" s="12" t="s">
        <v>762</v>
      </c>
      <c r="AF88" s="12" t="s">
        <v>762</v>
      </c>
      <c r="AG88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88" s="12" t="s">
        <v>762</v>
      </c>
      <c r="AI88" s="12" t="s">
        <v>762</v>
      </c>
      <c r="AJ88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88" s="12" t="s">
        <v>762</v>
      </c>
      <c r="AL88" s="12" t="s">
        <v>660</v>
      </c>
      <c r="AM88" s="12" t="s">
        <v>67</v>
      </c>
      <c r="AN88" s="12"/>
      <c r="AO88" s="12" t="s">
        <v>66</v>
      </c>
      <c r="AP88" s="12"/>
      <c r="AQ88" s="12"/>
      <c r="AR88" s="14"/>
      <c r="AS88" s="14"/>
      <c r="AT88" s="13">
        <v>43517</v>
      </c>
      <c r="AU88" s="14" t="s">
        <v>834</v>
      </c>
    </row>
    <row r="89" spans="1:47" ht="18.75" x14ac:dyDescent="0.3">
      <c r="A89" s="12" t="s">
        <v>672</v>
      </c>
      <c r="B89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TK868487</v>
      </c>
      <c r="C89" s="12" t="s">
        <v>673</v>
      </c>
      <c r="D89" s="12" t="s">
        <v>315</v>
      </c>
      <c r="E89" s="12" t="s">
        <v>663</v>
      </c>
      <c r="F89" s="13">
        <v>43516</v>
      </c>
      <c r="G89" s="13">
        <v>43516</v>
      </c>
      <c r="H89" s="12" t="s">
        <v>36</v>
      </c>
      <c r="I89" s="13">
        <v>43556</v>
      </c>
      <c r="J89" s="12" t="s">
        <v>66</v>
      </c>
      <c r="K89" s="12" t="s">
        <v>34</v>
      </c>
      <c r="L89" s="14">
        <v>3</v>
      </c>
      <c r="M89" s="14">
        <v>18</v>
      </c>
      <c r="N89" s="14">
        <v>3</v>
      </c>
      <c r="O89" s="14"/>
      <c r="P89" s="14"/>
      <c r="Q89" s="12" t="s">
        <v>30</v>
      </c>
      <c r="R89" s="12" t="s">
        <v>30</v>
      </c>
      <c r="S89" s="12" t="s">
        <v>33</v>
      </c>
      <c r="T89" s="12" t="s">
        <v>1031</v>
      </c>
      <c r="U89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295975 RTV</v>
      </c>
      <c r="V89" s="12" t="s">
        <v>786</v>
      </c>
      <c r="W89" s="12" t="s">
        <v>762</v>
      </c>
      <c r="X89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89" s="12" t="s">
        <v>762</v>
      </c>
      <c r="Z89" s="12" t="s">
        <v>762</v>
      </c>
      <c r="AA89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89" s="12" t="s">
        <v>762</v>
      </c>
      <c r="AC89" s="12" t="s">
        <v>762</v>
      </c>
      <c r="AD89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89" s="12" t="s">
        <v>762</v>
      </c>
      <c r="AF89" s="12" t="s">
        <v>762</v>
      </c>
      <c r="AG89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89" s="12" t="s">
        <v>762</v>
      </c>
      <c r="AI89" s="12" t="s">
        <v>762</v>
      </c>
      <c r="AJ89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89" s="12" t="s">
        <v>762</v>
      </c>
      <c r="AL89" s="12"/>
      <c r="AM89" s="12"/>
      <c r="AN89" s="12"/>
      <c r="AO89" s="12" t="s">
        <v>66</v>
      </c>
      <c r="AP89" s="12" t="s">
        <v>66</v>
      </c>
      <c r="AQ89" s="12"/>
      <c r="AR89" s="14"/>
      <c r="AS89" s="14"/>
      <c r="AT89" s="13">
        <v>43517</v>
      </c>
      <c r="AU89" s="14" t="s">
        <v>830</v>
      </c>
    </row>
    <row r="90" spans="1:47" ht="18.75" x14ac:dyDescent="0.3">
      <c r="A90" s="12" t="s">
        <v>81</v>
      </c>
      <c r="B90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TK832582</v>
      </c>
      <c r="C90" s="12" t="s">
        <v>82</v>
      </c>
      <c r="D90" s="12" t="s">
        <v>83</v>
      </c>
      <c r="E90" s="12" t="s">
        <v>74</v>
      </c>
      <c r="F90" s="13">
        <v>43517</v>
      </c>
      <c r="G90" s="13">
        <v>43517</v>
      </c>
      <c r="H90" s="12" t="s">
        <v>36</v>
      </c>
      <c r="I90" s="13">
        <v>43556</v>
      </c>
      <c r="J90" s="12" t="s">
        <v>66</v>
      </c>
      <c r="K90" s="12" t="s">
        <v>34</v>
      </c>
      <c r="L90" s="14">
        <v>3</v>
      </c>
      <c r="M90" s="14">
        <v>18</v>
      </c>
      <c r="N90" s="14">
        <v>3</v>
      </c>
      <c r="O90" s="14"/>
      <c r="P90" s="14"/>
      <c r="Q90" s="12" t="s">
        <v>30</v>
      </c>
      <c r="R90" s="12" t="s">
        <v>30</v>
      </c>
      <c r="S90" s="12" t="s">
        <v>33</v>
      </c>
      <c r="T90" s="12" t="s">
        <v>1003</v>
      </c>
      <c r="U90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266222 RTV</v>
      </c>
      <c r="V90" s="12" t="s">
        <v>786</v>
      </c>
      <c r="W90" s="12" t="s">
        <v>762</v>
      </c>
      <c r="X90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90" s="12" t="s">
        <v>762</v>
      </c>
      <c r="Z90" s="12" t="s">
        <v>762</v>
      </c>
      <c r="AA90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90" s="12" t="s">
        <v>762</v>
      </c>
      <c r="AC90" s="12" t="s">
        <v>762</v>
      </c>
      <c r="AD90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90" s="12" t="s">
        <v>762</v>
      </c>
      <c r="AF90" s="12" t="s">
        <v>762</v>
      </c>
      <c r="AG90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90" s="12" t="s">
        <v>762</v>
      </c>
      <c r="AI90" s="12" t="s">
        <v>762</v>
      </c>
      <c r="AJ90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90" s="12" t="s">
        <v>762</v>
      </c>
      <c r="AL90" s="12"/>
      <c r="AM90" s="12"/>
      <c r="AN90" s="12"/>
      <c r="AO90" s="12" t="s">
        <v>66</v>
      </c>
      <c r="AP90" s="12"/>
      <c r="AQ90" s="12"/>
      <c r="AR90" s="14"/>
      <c r="AS90" s="14"/>
      <c r="AT90" s="13">
        <v>43517</v>
      </c>
      <c r="AU90" s="14" t="s">
        <v>831</v>
      </c>
    </row>
    <row r="91" spans="1:47" ht="18.75" x14ac:dyDescent="0.3">
      <c r="A91" s="12" t="s">
        <v>293</v>
      </c>
      <c r="B91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TK866620</v>
      </c>
      <c r="C91" s="12" t="s">
        <v>294</v>
      </c>
      <c r="D91" s="12" t="s">
        <v>295</v>
      </c>
      <c r="E91" s="12" t="s">
        <v>296</v>
      </c>
      <c r="F91" s="13">
        <v>43518</v>
      </c>
      <c r="G91" s="13">
        <v>43518</v>
      </c>
      <c r="H91" s="12" t="s">
        <v>36</v>
      </c>
      <c r="I91" s="13">
        <v>43524</v>
      </c>
      <c r="J91" s="12" t="s">
        <v>66</v>
      </c>
      <c r="K91" s="12" t="s">
        <v>29</v>
      </c>
      <c r="L91" s="14">
        <v>3</v>
      </c>
      <c r="M91" s="14">
        <v>16.5</v>
      </c>
      <c r="N91" s="14">
        <v>3</v>
      </c>
      <c r="O91" s="14"/>
      <c r="P91" s="14"/>
      <c r="Q91" s="12" t="s">
        <v>30</v>
      </c>
      <c r="R91" s="12" t="s">
        <v>30</v>
      </c>
      <c r="S91" s="12" t="s">
        <v>33</v>
      </c>
      <c r="T91" s="12" t="s">
        <v>1042</v>
      </c>
      <c r="U91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294951 Verified</v>
      </c>
      <c r="V91" s="12" t="s">
        <v>785</v>
      </c>
      <c r="W91" s="12" t="s">
        <v>762</v>
      </c>
      <c r="X91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91" s="12" t="s">
        <v>762</v>
      </c>
      <c r="Z91" s="12" t="s">
        <v>762</v>
      </c>
      <c r="AA91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91" s="12" t="s">
        <v>762</v>
      </c>
      <c r="AC91" s="12" t="s">
        <v>762</v>
      </c>
      <c r="AD91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91" s="12" t="s">
        <v>762</v>
      </c>
      <c r="AF91" s="12" t="s">
        <v>762</v>
      </c>
      <c r="AG91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91" s="12" t="s">
        <v>762</v>
      </c>
      <c r="AI91" s="12" t="s">
        <v>762</v>
      </c>
      <c r="AJ91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91" s="12" t="s">
        <v>762</v>
      </c>
      <c r="AL91" s="12"/>
      <c r="AM91" s="12"/>
      <c r="AN91" s="12"/>
      <c r="AO91" s="12" t="s">
        <v>66</v>
      </c>
      <c r="AP91" s="12" t="s">
        <v>66</v>
      </c>
      <c r="AQ91" s="12"/>
      <c r="AR91" s="14"/>
      <c r="AS91" s="14"/>
      <c r="AT91" s="13">
        <v>43517</v>
      </c>
      <c r="AU91" s="14"/>
    </row>
    <row r="92" spans="1:47" ht="18.75" x14ac:dyDescent="0.3">
      <c r="A92" s="12" t="s">
        <v>846</v>
      </c>
      <c r="B92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TK874891</v>
      </c>
      <c r="C92" s="12" t="s">
        <v>847</v>
      </c>
      <c r="D92" s="12" t="s">
        <v>848</v>
      </c>
      <c r="E92" s="12" t="s">
        <v>849</v>
      </c>
      <c r="F92" s="13">
        <v>43518</v>
      </c>
      <c r="G92" s="13">
        <v>43518</v>
      </c>
      <c r="H92" s="12" t="s">
        <v>36</v>
      </c>
      <c r="I92" s="13">
        <v>43525</v>
      </c>
      <c r="J92" s="12" t="s">
        <v>66</v>
      </c>
      <c r="K92" s="12" t="s">
        <v>29</v>
      </c>
      <c r="L92" s="14">
        <v>3</v>
      </c>
      <c r="M92" s="14">
        <v>34.5</v>
      </c>
      <c r="N92" s="14">
        <v>3</v>
      </c>
      <c r="O92" s="14"/>
      <c r="P92" s="14"/>
      <c r="Q92" s="12" t="s">
        <v>30</v>
      </c>
      <c r="R92" s="12" t="s">
        <v>30</v>
      </c>
      <c r="S92" s="12" t="s">
        <v>33</v>
      </c>
      <c r="T92" s="12" t="s">
        <v>762</v>
      </c>
      <c r="U92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92" s="12" t="s">
        <v>762</v>
      </c>
      <c r="W92" s="12" t="s">
        <v>762</v>
      </c>
      <c r="X92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92" s="12" t="s">
        <v>762</v>
      </c>
      <c r="Z92" s="12" t="s">
        <v>762</v>
      </c>
      <c r="AA92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92" s="12" t="s">
        <v>762</v>
      </c>
      <c r="AC92" s="12" t="s">
        <v>762</v>
      </c>
      <c r="AD92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92" s="12" t="s">
        <v>762</v>
      </c>
      <c r="AF92" s="12" t="s">
        <v>762</v>
      </c>
      <c r="AG92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92" s="12" t="s">
        <v>762</v>
      </c>
      <c r="AI92" s="12" t="s">
        <v>762</v>
      </c>
      <c r="AJ92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92" s="12" t="s">
        <v>762</v>
      </c>
      <c r="AL92" s="12"/>
      <c r="AM92" s="12"/>
      <c r="AN92" s="12"/>
      <c r="AO92" s="12" t="s">
        <v>66</v>
      </c>
      <c r="AP92" s="12" t="s">
        <v>66</v>
      </c>
      <c r="AQ92" s="12"/>
      <c r="AR92" s="14"/>
      <c r="AS92" s="14"/>
      <c r="AT92" s="13">
        <v>43517</v>
      </c>
      <c r="AU92" s="14"/>
    </row>
    <row r="93" spans="1:47" ht="18.75" x14ac:dyDescent="0.3">
      <c r="A93" s="12" t="s">
        <v>88</v>
      </c>
      <c r="B93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TK840671</v>
      </c>
      <c r="C93" s="12" t="s">
        <v>89</v>
      </c>
      <c r="D93" s="12" t="s">
        <v>90</v>
      </c>
      <c r="E93" s="12" t="s">
        <v>91</v>
      </c>
      <c r="F93" s="13">
        <v>43518</v>
      </c>
      <c r="G93" s="13">
        <v>43518</v>
      </c>
      <c r="H93" s="12" t="s">
        <v>36</v>
      </c>
      <c r="I93" s="13">
        <v>43540</v>
      </c>
      <c r="J93" s="12" t="s">
        <v>66</v>
      </c>
      <c r="K93" s="12" t="s">
        <v>34</v>
      </c>
      <c r="L93" s="14">
        <v>3</v>
      </c>
      <c r="M93" s="14">
        <v>34.5</v>
      </c>
      <c r="N93" s="14">
        <v>3</v>
      </c>
      <c r="O93" s="14"/>
      <c r="P93" s="14"/>
      <c r="Q93" s="12" t="s">
        <v>30</v>
      </c>
      <c r="R93" s="12" t="s">
        <v>30</v>
      </c>
      <c r="S93" s="12" t="s">
        <v>31</v>
      </c>
      <c r="T93" s="12" t="s">
        <v>1043</v>
      </c>
      <c r="U93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282914 Verified</v>
      </c>
      <c r="V93" s="12" t="s">
        <v>784</v>
      </c>
      <c r="W93" s="12" t="s">
        <v>762</v>
      </c>
      <c r="X93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93" s="12" t="s">
        <v>762</v>
      </c>
      <c r="Z93" s="12" t="s">
        <v>762</v>
      </c>
      <c r="AA93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93" s="12" t="s">
        <v>762</v>
      </c>
      <c r="AC93" s="12" t="s">
        <v>762</v>
      </c>
      <c r="AD93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93" s="12" t="s">
        <v>762</v>
      </c>
      <c r="AF93" s="12" t="s">
        <v>762</v>
      </c>
      <c r="AG93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93" s="12" t="s">
        <v>762</v>
      </c>
      <c r="AI93" s="12" t="s">
        <v>762</v>
      </c>
      <c r="AJ93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93" s="12" t="s">
        <v>762</v>
      </c>
      <c r="AL93" s="12"/>
      <c r="AM93" s="12"/>
      <c r="AN93" s="12"/>
      <c r="AO93" s="12" t="s">
        <v>66</v>
      </c>
      <c r="AP93" s="12"/>
      <c r="AQ93" s="12"/>
      <c r="AR93" s="14"/>
      <c r="AS93" s="14"/>
      <c r="AT93" s="13">
        <v>43517</v>
      </c>
      <c r="AU93" s="14"/>
    </row>
    <row r="94" spans="1:47" ht="18.75" x14ac:dyDescent="0.3">
      <c r="A94" s="12" t="s">
        <v>98</v>
      </c>
      <c r="B94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TK840672</v>
      </c>
      <c r="C94" s="12" t="s">
        <v>99</v>
      </c>
      <c r="D94" s="12" t="s">
        <v>100</v>
      </c>
      <c r="E94" s="12" t="s">
        <v>91</v>
      </c>
      <c r="F94" s="13">
        <v>43519</v>
      </c>
      <c r="G94" s="13">
        <v>43520</v>
      </c>
      <c r="H94" s="12" t="s">
        <v>36</v>
      </c>
      <c r="I94" s="13">
        <v>43540</v>
      </c>
      <c r="J94" s="12" t="s">
        <v>66</v>
      </c>
      <c r="K94" s="12" t="s">
        <v>29</v>
      </c>
      <c r="L94" s="14">
        <v>3</v>
      </c>
      <c r="M94" s="14">
        <v>48</v>
      </c>
      <c r="N94" s="14">
        <v>3</v>
      </c>
      <c r="O94" s="14"/>
      <c r="P94" s="14"/>
      <c r="Q94" s="12" t="s">
        <v>30</v>
      </c>
      <c r="R94" s="12" t="s">
        <v>30</v>
      </c>
      <c r="S94" s="12" t="s">
        <v>31</v>
      </c>
      <c r="T94" s="12" t="s">
        <v>1044</v>
      </c>
      <c r="U94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282973 Verified</v>
      </c>
      <c r="V94" s="12" t="s">
        <v>784</v>
      </c>
      <c r="W94" s="12" t="s">
        <v>762</v>
      </c>
      <c r="X94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94" s="12" t="s">
        <v>762</v>
      </c>
      <c r="Z94" s="12" t="s">
        <v>762</v>
      </c>
      <c r="AA94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94" s="12" t="s">
        <v>762</v>
      </c>
      <c r="AC94" s="12" t="s">
        <v>762</v>
      </c>
      <c r="AD94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94" s="12" t="s">
        <v>762</v>
      </c>
      <c r="AF94" s="12" t="s">
        <v>762</v>
      </c>
      <c r="AG94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94" s="12" t="s">
        <v>762</v>
      </c>
      <c r="AI94" s="12" t="s">
        <v>762</v>
      </c>
      <c r="AJ94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94" s="12" t="s">
        <v>762</v>
      </c>
      <c r="AL94" s="12" t="s">
        <v>101</v>
      </c>
      <c r="AM94" s="12" t="s">
        <v>45</v>
      </c>
      <c r="AN94" s="12"/>
      <c r="AO94" s="12" t="s">
        <v>66</v>
      </c>
      <c r="AP94" s="12"/>
      <c r="AQ94" s="12"/>
      <c r="AR94" s="14"/>
      <c r="AS94" s="14"/>
      <c r="AT94" s="13">
        <v>43517</v>
      </c>
      <c r="AU94" s="14"/>
    </row>
    <row r="95" spans="1:47" ht="18.75" x14ac:dyDescent="0.3">
      <c r="A95" s="12" t="s">
        <v>850</v>
      </c>
      <c r="B95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TK871673</v>
      </c>
      <c r="C95" s="12" t="s">
        <v>851</v>
      </c>
      <c r="D95" s="12" t="s">
        <v>852</v>
      </c>
      <c r="E95" s="12" t="s">
        <v>849</v>
      </c>
      <c r="F95" s="13">
        <v>43519</v>
      </c>
      <c r="G95" s="13">
        <v>43519</v>
      </c>
      <c r="H95" s="12" t="s">
        <v>36</v>
      </c>
      <c r="I95" s="13">
        <v>43525</v>
      </c>
      <c r="J95" s="12" t="s">
        <v>66</v>
      </c>
      <c r="K95" s="12" t="s">
        <v>34</v>
      </c>
      <c r="L95" s="14">
        <v>3</v>
      </c>
      <c r="M95" s="14">
        <v>18</v>
      </c>
      <c r="N95" s="14">
        <v>3</v>
      </c>
      <c r="O95" s="14"/>
      <c r="P95" s="14"/>
      <c r="Q95" s="12" t="s">
        <v>30</v>
      </c>
      <c r="R95" s="12" t="s">
        <v>30</v>
      </c>
      <c r="S95" s="12" t="s">
        <v>33</v>
      </c>
      <c r="T95" s="12" t="s">
        <v>762</v>
      </c>
      <c r="U95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95" s="12" t="s">
        <v>762</v>
      </c>
      <c r="W95" s="12" t="s">
        <v>762</v>
      </c>
      <c r="X95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95" s="12" t="s">
        <v>762</v>
      </c>
      <c r="Z95" s="12" t="s">
        <v>762</v>
      </c>
      <c r="AA95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95" s="12" t="s">
        <v>762</v>
      </c>
      <c r="AC95" s="12" t="s">
        <v>762</v>
      </c>
      <c r="AD95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95" s="12" t="s">
        <v>762</v>
      </c>
      <c r="AF95" s="12" t="s">
        <v>762</v>
      </c>
      <c r="AG95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95" s="12" t="s">
        <v>762</v>
      </c>
      <c r="AI95" s="12" t="s">
        <v>762</v>
      </c>
      <c r="AJ95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95" s="12" t="s">
        <v>762</v>
      </c>
      <c r="AL95" s="12"/>
      <c r="AM95" s="12"/>
      <c r="AN95" s="12"/>
      <c r="AO95" s="12" t="s">
        <v>66</v>
      </c>
      <c r="AP95" s="12"/>
      <c r="AQ95" s="12"/>
      <c r="AR95" s="14"/>
      <c r="AS95" s="14"/>
      <c r="AT95" s="13">
        <v>43517</v>
      </c>
      <c r="AU95" s="14"/>
    </row>
    <row r="96" spans="1:47" ht="18.75" x14ac:dyDescent="0.3">
      <c r="A96" s="12" t="s">
        <v>677</v>
      </c>
      <c r="B96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TK863075</v>
      </c>
      <c r="C96" s="12" t="s">
        <v>678</v>
      </c>
      <c r="D96" s="12" t="s">
        <v>679</v>
      </c>
      <c r="E96" s="12" t="s">
        <v>671</v>
      </c>
      <c r="F96" s="13">
        <v>43519</v>
      </c>
      <c r="G96" s="13">
        <v>43519</v>
      </c>
      <c r="H96" s="12" t="s">
        <v>36</v>
      </c>
      <c r="I96" s="13">
        <v>43556</v>
      </c>
      <c r="J96" s="12" t="s">
        <v>66</v>
      </c>
      <c r="K96" s="12" t="s">
        <v>34</v>
      </c>
      <c r="L96" s="14">
        <v>3</v>
      </c>
      <c r="M96" s="14">
        <v>16.5</v>
      </c>
      <c r="N96" s="14">
        <v>2</v>
      </c>
      <c r="O96" s="14"/>
      <c r="P96" s="14"/>
      <c r="Q96" s="12" t="s">
        <v>30</v>
      </c>
      <c r="R96" s="12" t="s">
        <v>30</v>
      </c>
      <c r="S96" s="12" t="s">
        <v>33</v>
      </c>
      <c r="T96" s="12" t="s">
        <v>1037</v>
      </c>
      <c r="U96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296217 TRA</v>
      </c>
      <c r="V96" s="12" t="s">
        <v>781</v>
      </c>
      <c r="W96" s="12" t="s">
        <v>1038</v>
      </c>
      <c r="X96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>296220 RTV</v>
      </c>
      <c r="Y96" s="12" t="s">
        <v>786</v>
      </c>
      <c r="Z96" s="12" t="s">
        <v>762</v>
      </c>
      <c r="AA96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96" s="12" t="s">
        <v>762</v>
      </c>
      <c r="AC96" s="12" t="s">
        <v>762</v>
      </c>
      <c r="AD96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96" s="12" t="s">
        <v>762</v>
      </c>
      <c r="AF96" s="12" t="s">
        <v>762</v>
      </c>
      <c r="AG96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96" s="12" t="s">
        <v>762</v>
      </c>
      <c r="AI96" s="12" t="s">
        <v>762</v>
      </c>
      <c r="AJ96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96" s="12" t="s">
        <v>762</v>
      </c>
      <c r="AL96" s="12" t="s">
        <v>660</v>
      </c>
      <c r="AM96" s="12" t="s">
        <v>67</v>
      </c>
      <c r="AN96" s="12"/>
      <c r="AO96" s="12" t="s">
        <v>66</v>
      </c>
      <c r="AP96" s="12"/>
      <c r="AQ96" s="12"/>
      <c r="AR96" s="14"/>
      <c r="AS96" s="14"/>
      <c r="AT96" s="13">
        <v>43517</v>
      </c>
      <c r="AU96" s="14" t="s">
        <v>834</v>
      </c>
    </row>
    <row r="97" spans="1:47" ht="18.75" x14ac:dyDescent="0.3">
      <c r="A97" s="12" t="s">
        <v>297</v>
      </c>
      <c r="B97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TK866686</v>
      </c>
      <c r="C97" s="12" t="s">
        <v>298</v>
      </c>
      <c r="D97" s="12" t="s">
        <v>299</v>
      </c>
      <c r="E97" s="12" t="s">
        <v>296</v>
      </c>
      <c r="F97" s="13">
        <v>43519</v>
      </c>
      <c r="G97" s="13">
        <v>43519</v>
      </c>
      <c r="H97" s="12" t="s">
        <v>36</v>
      </c>
      <c r="I97" s="13">
        <v>43524</v>
      </c>
      <c r="J97" s="12" t="s">
        <v>66</v>
      </c>
      <c r="K97" s="12" t="s">
        <v>34</v>
      </c>
      <c r="L97" s="14">
        <v>3</v>
      </c>
      <c r="M97" s="14">
        <v>18</v>
      </c>
      <c r="N97" s="14">
        <v>3</v>
      </c>
      <c r="O97" s="14"/>
      <c r="P97" s="14"/>
      <c r="Q97" s="12" t="s">
        <v>30</v>
      </c>
      <c r="R97" s="12" t="s">
        <v>30</v>
      </c>
      <c r="S97" s="12" t="s">
        <v>33</v>
      </c>
      <c r="T97" s="12" t="s">
        <v>1045</v>
      </c>
      <c r="U97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296760 Verified</v>
      </c>
      <c r="V97" s="12" t="s">
        <v>784</v>
      </c>
      <c r="W97" s="12" t="s">
        <v>762</v>
      </c>
      <c r="X97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97" s="12" t="s">
        <v>762</v>
      </c>
      <c r="Z97" s="12" t="s">
        <v>762</v>
      </c>
      <c r="AA97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97" s="12" t="s">
        <v>762</v>
      </c>
      <c r="AC97" s="12" t="s">
        <v>762</v>
      </c>
      <c r="AD97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97" s="12" t="s">
        <v>762</v>
      </c>
      <c r="AF97" s="12" t="s">
        <v>762</v>
      </c>
      <c r="AG97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97" s="12" t="s">
        <v>762</v>
      </c>
      <c r="AI97" s="12" t="s">
        <v>762</v>
      </c>
      <c r="AJ97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97" s="12" t="s">
        <v>762</v>
      </c>
      <c r="AL97" s="12"/>
      <c r="AM97" s="12"/>
      <c r="AN97" s="12"/>
      <c r="AO97" s="12" t="s">
        <v>66</v>
      </c>
      <c r="AP97" s="12" t="s">
        <v>66</v>
      </c>
      <c r="AQ97" s="12"/>
      <c r="AR97" s="14"/>
      <c r="AS97" s="14"/>
      <c r="AT97" s="13">
        <v>43517</v>
      </c>
      <c r="AU97" s="14"/>
    </row>
    <row r="98" spans="1:47" ht="18.75" x14ac:dyDescent="0.3">
      <c r="A98" s="12" t="s">
        <v>102</v>
      </c>
      <c r="B98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TK840674</v>
      </c>
      <c r="C98" s="12" t="s">
        <v>103</v>
      </c>
      <c r="D98" s="12" t="s">
        <v>104</v>
      </c>
      <c r="E98" s="12" t="s">
        <v>91</v>
      </c>
      <c r="F98" s="13">
        <v>43520</v>
      </c>
      <c r="G98" s="13">
        <v>43520</v>
      </c>
      <c r="H98" s="12" t="s">
        <v>36</v>
      </c>
      <c r="I98" s="13">
        <v>43540</v>
      </c>
      <c r="J98" s="12" t="s">
        <v>66</v>
      </c>
      <c r="K98" s="12" t="s">
        <v>34</v>
      </c>
      <c r="L98" s="14">
        <v>3</v>
      </c>
      <c r="M98" s="14">
        <v>24</v>
      </c>
      <c r="N98" s="14">
        <v>3</v>
      </c>
      <c r="O98" s="14"/>
      <c r="P98" s="14"/>
      <c r="Q98" s="12" t="s">
        <v>30</v>
      </c>
      <c r="R98" s="12" t="s">
        <v>30</v>
      </c>
      <c r="S98" s="12" t="s">
        <v>31</v>
      </c>
      <c r="T98" s="12" t="s">
        <v>1043</v>
      </c>
      <c r="U98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282914 Verified</v>
      </c>
      <c r="V98" s="12" t="s">
        <v>784</v>
      </c>
      <c r="W98" s="12" t="s">
        <v>762</v>
      </c>
      <c r="X98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98" s="12" t="s">
        <v>762</v>
      </c>
      <c r="Z98" s="12" t="s">
        <v>762</v>
      </c>
      <c r="AA98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98" s="12" t="s">
        <v>762</v>
      </c>
      <c r="AC98" s="12" t="s">
        <v>762</v>
      </c>
      <c r="AD98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98" s="12" t="s">
        <v>762</v>
      </c>
      <c r="AF98" s="12" t="s">
        <v>762</v>
      </c>
      <c r="AG98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98" s="12" t="s">
        <v>762</v>
      </c>
      <c r="AI98" s="12" t="s">
        <v>762</v>
      </c>
      <c r="AJ98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98" s="12" t="s">
        <v>762</v>
      </c>
      <c r="AL98" s="12"/>
      <c r="AM98" s="12"/>
      <c r="AN98" s="12"/>
      <c r="AO98" s="12" t="s">
        <v>66</v>
      </c>
      <c r="AP98" s="12"/>
      <c r="AQ98" s="12"/>
      <c r="AR98" s="14"/>
      <c r="AS98" s="14"/>
      <c r="AT98" s="13">
        <v>43517</v>
      </c>
      <c r="AU98" s="14"/>
    </row>
    <row r="99" spans="1:47" ht="18.75" x14ac:dyDescent="0.3">
      <c r="A99" s="12" t="s">
        <v>683</v>
      </c>
      <c r="B99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TK863076</v>
      </c>
      <c r="C99" s="12" t="s">
        <v>684</v>
      </c>
      <c r="D99" s="12" t="s">
        <v>685</v>
      </c>
      <c r="E99" s="12" t="s">
        <v>671</v>
      </c>
      <c r="F99" s="13">
        <v>43520</v>
      </c>
      <c r="G99" s="13">
        <v>43520</v>
      </c>
      <c r="H99" s="12" t="s">
        <v>36</v>
      </c>
      <c r="I99" s="13">
        <v>43556</v>
      </c>
      <c r="J99" s="12" t="s">
        <v>66</v>
      </c>
      <c r="K99" s="12" t="s">
        <v>34</v>
      </c>
      <c r="L99" s="14">
        <v>3</v>
      </c>
      <c r="M99" s="14">
        <v>18</v>
      </c>
      <c r="N99" s="14">
        <v>2</v>
      </c>
      <c r="O99" s="14"/>
      <c r="P99" s="14"/>
      <c r="Q99" s="12" t="s">
        <v>30</v>
      </c>
      <c r="R99" s="12" t="s">
        <v>30</v>
      </c>
      <c r="S99" s="12" t="s">
        <v>33</v>
      </c>
      <c r="T99" s="12" t="s">
        <v>1037</v>
      </c>
      <c r="U99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296217 TRA</v>
      </c>
      <c r="V99" s="12" t="s">
        <v>781</v>
      </c>
      <c r="W99" s="12" t="s">
        <v>1038</v>
      </c>
      <c r="X99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>296220 RTV</v>
      </c>
      <c r="Y99" s="12" t="s">
        <v>786</v>
      </c>
      <c r="Z99" s="12" t="s">
        <v>762</v>
      </c>
      <c r="AA99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99" s="12" t="s">
        <v>762</v>
      </c>
      <c r="AC99" s="12" t="s">
        <v>762</v>
      </c>
      <c r="AD99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99" s="12" t="s">
        <v>762</v>
      </c>
      <c r="AF99" s="12" t="s">
        <v>762</v>
      </c>
      <c r="AG99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99" s="12" t="s">
        <v>762</v>
      </c>
      <c r="AI99" s="12" t="s">
        <v>762</v>
      </c>
      <c r="AJ99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99" s="12" t="s">
        <v>762</v>
      </c>
      <c r="AL99" s="12" t="s">
        <v>660</v>
      </c>
      <c r="AM99" s="12" t="s">
        <v>67</v>
      </c>
      <c r="AN99" s="12"/>
      <c r="AO99" s="12" t="s">
        <v>66</v>
      </c>
      <c r="AP99" s="12"/>
      <c r="AQ99" s="12"/>
      <c r="AR99" s="14"/>
      <c r="AS99" s="14"/>
      <c r="AT99" s="13">
        <v>43517</v>
      </c>
      <c r="AU99" s="14" t="s">
        <v>835</v>
      </c>
    </row>
    <row r="100" spans="1:47" ht="18.75" x14ac:dyDescent="0.3">
      <c r="A100" s="12" t="s">
        <v>680</v>
      </c>
      <c r="B100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TK870029</v>
      </c>
      <c r="C100" s="12" t="s">
        <v>681</v>
      </c>
      <c r="D100" s="12" t="s">
        <v>682</v>
      </c>
      <c r="E100" s="12" t="s">
        <v>663</v>
      </c>
      <c r="F100" s="13">
        <v>43520</v>
      </c>
      <c r="G100" s="13">
        <v>43520</v>
      </c>
      <c r="H100" s="12" t="s">
        <v>36</v>
      </c>
      <c r="I100" s="13">
        <v>43465</v>
      </c>
      <c r="J100" s="12" t="s">
        <v>66</v>
      </c>
      <c r="K100" s="12" t="s">
        <v>34</v>
      </c>
      <c r="L100" s="14">
        <v>3</v>
      </c>
      <c r="M100" s="14">
        <v>18</v>
      </c>
      <c r="N100" s="14">
        <v>3</v>
      </c>
      <c r="O100" s="14"/>
      <c r="P100" s="14"/>
      <c r="Q100" s="12" t="s">
        <v>30</v>
      </c>
      <c r="R100" s="12" t="s">
        <v>30</v>
      </c>
      <c r="S100" s="12" t="s">
        <v>33</v>
      </c>
      <c r="T100" s="12" t="s">
        <v>1041</v>
      </c>
      <c r="U100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297078 RTV</v>
      </c>
      <c r="V100" s="12" t="s">
        <v>786</v>
      </c>
      <c r="W100" s="12" t="s">
        <v>762</v>
      </c>
      <c r="X100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00" s="12" t="s">
        <v>762</v>
      </c>
      <c r="Z100" s="12" t="s">
        <v>762</v>
      </c>
      <c r="AA100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00" s="12" t="s">
        <v>762</v>
      </c>
      <c r="AC100" s="12" t="s">
        <v>762</v>
      </c>
      <c r="AD100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00" s="12" t="s">
        <v>762</v>
      </c>
      <c r="AF100" s="12" t="s">
        <v>762</v>
      </c>
      <c r="AG100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00" s="12" t="s">
        <v>762</v>
      </c>
      <c r="AI100" s="12" t="s">
        <v>762</v>
      </c>
      <c r="AJ100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00" s="12" t="s">
        <v>762</v>
      </c>
      <c r="AL100" s="12"/>
      <c r="AM100" s="12"/>
      <c r="AN100" s="12"/>
      <c r="AO100" s="12" t="s">
        <v>66</v>
      </c>
      <c r="AP100" s="12"/>
      <c r="AQ100" s="12"/>
      <c r="AR100" s="14"/>
      <c r="AS100" s="14"/>
      <c r="AT100" s="13">
        <v>43517</v>
      </c>
      <c r="AU100" s="14"/>
    </row>
    <row r="101" spans="1:47" ht="18.75" x14ac:dyDescent="0.3">
      <c r="A101" s="12"/>
      <c r="B101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2/28/2019</v>
      </c>
      <c r="C101" s="12" t="s">
        <v>61</v>
      </c>
      <c r="D101" s="12"/>
      <c r="E101" s="12"/>
      <c r="F101" s="13"/>
      <c r="G101" s="13"/>
      <c r="H101" s="12"/>
      <c r="I101" s="13"/>
      <c r="J101" s="12"/>
      <c r="K101" s="12"/>
      <c r="L101" s="14"/>
      <c r="M101" s="14"/>
      <c r="N101" s="14"/>
      <c r="O101" s="14"/>
      <c r="P101" s="14"/>
      <c r="Q101" s="12"/>
      <c r="R101" s="12"/>
      <c r="S101" s="12"/>
      <c r="T101" s="12" t="s">
        <v>762</v>
      </c>
      <c r="U101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01" s="12" t="s">
        <v>762</v>
      </c>
      <c r="W101" s="12" t="s">
        <v>762</v>
      </c>
      <c r="X101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01" s="12" t="s">
        <v>762</v>
      </c>
      <c r="Z101" s="12" t="s">
        <v>762</v>
      </c>
      <c r="AA101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01" s="12" t="s">
        <v>762</v>
      </c>
      <c r="AC101" s="12" t="s">
        <v>762</v>
      </c>
      <c r="AD101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01" s="12" t="s">
        <v>762</v>
      </c>
      <c r="AF101" s="12" t="s">
        <v>762</v>
      </c>
      <c r="AG101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01" s="12" t="s">
        <v>762</v>
      </c>
      <c r="AI101" s="12" t="s">
        <v>762</v>
      </c>
      <c r="AJ101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01" s="12" t="s">
        <v>762</v>
      </c>
      <c r="AL101" s="12"/>
      <c r="AM101" s="12"/>
      <c r="AN101" s="12"/>
      <c r="AO101" s="12"/>
      <c r="AP101" s="12"/>
      <c r="AQ101" s="12"/>
      <c r="AR101" s="14"/>
      <c r="AS101" s="14"/>
      <c r="AT101" s="13">
        <v>43524</v>
      </c>
      <c r="AU101" s="14"/>
    </row>
    <row r="102" spans="1:47" ht="18.75" x14ac:dyDescent="0.3">
      <c r="A102" s="12" t="s">
        <v>302</v>
      </c>
      <c r="B102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TK788646</v>
      </c>
      <c r="C102" s="12" t="s">
        <v>303</v>
      </c>
      <c r="D102" s="12" t="s">
        <v>304</v>
      </c>
      <c r="E102" s="12" t="s">
        <v>305</v>
      </c>
      <c r="F102" s="13">
        <v>43524</v>
      </c>
      <c r="G102" s="13">
        <v>43524</v>
      </c>
      <c r="H102" s="12" t="s">
        <v>36</v>
      </c>
      <c r="I102" s="13">
        <v>43538</v>
      </c>
      <c r="J102" s="12" t="s">
        <v>66</v>
      </c>
      <c r="K102" s="12" t="s">
        <v>34</v>
      </c>
      <c r="L102" s="14">
        <v>3</v>
      </c>
      <c r="M102" s="14">
        <v>34.5</v>
      </c>
      <c r="N102" s="14">
        <v>3</v>
      </c>
      <c r="O102" s="14"/>
      <c r="P102" s="14"/>
      <c r="Q102" s="12" t="s">
        <v>30</v>
      </c>
      <c r="R102" s="12" t="s">
        <v>30</v>
      </c>
      <c r="S102" s="12" t="s">
        <v>33</v>
      </c>
      <c r="T102" s="12" t="s">
        <v>1046</v>
      </c>
      <c r="U102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296489 RTV</v>
      </c>
      <c r="V102" s="12" t="s">
        <v>786</v>
      </c>
      <c r="W102" s="12" t="s">
        <v>762</v>
      </c>
      <c r="X102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02" s="12" t="s">
        <v>762</v>
      </c>
      <c r="Z102" s="12" t="s">
        <v>762</v>
      </c>
      <c r="AA102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02" s="12" t="s">
        <v>762</v>
      </c>
      <c r="AC102" s="12" t="s">
        <v>762</v>
      </c>
      <c r="AD102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02" s="12" t="s">
        <v>762</v>
      </c>
      <c r="AF102" s="12" t="s">
        <v>762</v>
      </c>
      <c r="AG102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02" s="12" t="s">
        <v>762</v>
      </c>
      <c r="AI102" s="12" t="s">
        <v>762</v>
      </c>
      <c r="AJ102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02" s="12" t="s">
        <v>762</v>
      </c>
      <c r="AL102" s="12"/>
      <c r="AM102" s="12"/>
      <c r="AN102" s="12"/>
      <c r="AO102" s="12" t="s">
        <v>66</v>
      </c>
      <c r="AP102" s="12"/>
      <c r="AQ102" s="12"/>
      <c r="AR102" s="14"/>
      <c r="AS102" s="14"/>
      <c r="AT102" s="13">
        <v>43524</v>
      </c>
      <c r="AU102" s="14" t="s">
        <v>831</v>
      </c>
    </row>
    <row r="103" spans="1:47" ht="18.75" x14ac:dyDescent="0.3">
      <c r="A103" s="12" t="s">
        <v>311</v>
      </c>
      <c r="B103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TK808186</v>
      </c>
      <c r="C103" s="12" t="s">
        <v>312</v>
      </c>
      <c r="D103" s="12" t="s">
        <v>313</v>
      </c>
      <c r="E103" s="12" t="s">
        <v>314</v>
      </c>
      <c r="F103" s="13">
        <v>43525</v>
      </c>
      <c r="G103" s="13">
        <v>43526</v>
      </c>
      <c r="H103" s="12" t="s">
        <v>36</v>
      </c>
      <c r="I103" s="13">
        <v>43528</v>
      </c>
      <c r="J103" s="12" t="s">
        <v>66</v>
      </c>
      <c r="K103" s="12" t="s">
        <v>29</v>
      </c>
      <c r="L103" s="14">
        <v>3</v>
      </c>
      <c r="M103" s="14">
        <v>72</v>
      </c>
      <c r="N103" s="14">
        <v>3</v>
      </c>
      <c r="O103" s="14"/>
      <c r="P103" s="14"/>
      <c r="Q103" s="12" t="s">
        <v>42</v>
      </c>
      <c r="R103" s="12" t="s">
        <v>42</v>
      </c>
      <c r="S103" s="12" t="s">
        <v>33</v>
      </c>
      <c r="T103" s="12" t="s">
        <v>1047</v>
      </c>
      <c r="U103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267782 Draft</v>
      </c>
      <c r="V103" s="12" t="s">
        <v>787</v>
      </c>
      <c r="W103" s="12" t="s">
        <v>1048</v>
      </c>
      <c r="X103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>268329 Draft</v>
      </c>
      <c r="Y103" s="12" t="s">
        <v>787</v>
      </c>
      <c r="Z103" s="12" t="s">
        <v>762</v>
      </c>
      <c r="AA103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03" s="12" t="s">
        <v>762</v>
      </c>
      <c r="AC103" s="12" t="s">
        <v>762</v>
      </c>
      <c r="AD103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03" s="12" t="s">
        <v>762</v>
      </c>
      <c r="AF103" s="12" t="s">
        <v>762</v>
      </c>
      <c r="AG103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03" s="12" t="s">
        <v>762</v>
      </c>
      <c r="AI103" s="12" t="s">
        <v>762</v>
      </c>
      <c r="AJ103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03" s="12" t="s">
        <v>762</v>
      </c>
      <c r="AL103" s="12"/>
      <c r="AM103" s="12"/>
      <c r="AN103" s="12"/>
      <c r="AO103" s="12" t="s">
        <v>66</v>
      </c>
      <c r="AP103" s="12" t="s">
        <v>66</v>
      </c>
      <c r="AQ103" s="12"/>
      <c r="AR103" s="14"/>
      <c r="AS103" s="14"/>
      <c r="AT103" s="13">
        <v>43524</v>
      </c>
      <c r="AU103" s="14"/>
    </row>
    <row r="104" spans="1:47" ht="18.75" x14ac:dyDescent="0.3">
      <c r="A104" s="12" t="s">
        <v>319</v>
      </c>
      <c r="B104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TK858644</v>
      </c>
      <c r="C104" s="12" t="s">
        <v>320</v>
      </c>
      <c r="D104" s="12" t="s">
        <v>321</v>
      </c>
      <c r="E104" s="12" t="s">
        <v>322</v>
      </c>
      <c r="F104" s="13">
        <v>43526</v>
      </c>
      <c r="G104" s="13">
        <v>43526</v>
      </c>
      <c r="H104" s="12" t="s">
        <v>36</v>
      </c>
      <c r="I104" s="13">
        <v>43586</v>
      </c>
      <c r="J104" s="12" t="s">
        <v>66</v>
      </c>
      <c r="K104" s="12" t="s">
        <v>34</v>
      </c>
      <c r="L104" s="14">
        <v>3</v>
      </c>
      <c r="M104" s="14">
        <v>9</v>
      </c>
      <c r="N104" s="14">
        <v>2</v>
      </c>
      <c r="O104" s="14"/>
      <c r="P104" s="14"/>
      <c r="Q104" s="12" t="s">
        <v>30</v>
      </c>
      <c r="R104" s="12" t="s">
        <v>42</v>
      </c>
      <c r="S104" s="12" t="s">
        <v>33</v>
      </c>
      <c r="T104" s="12" t="s">
        <v>1049</v>
      </c>
      <c r="U104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285244 TRA</v>
      </c>
      <c r="V104" s="12" t="s">
        <v>781</v>
      </c>
      <c r="W104" s="12" t="s">
        <v>762</v>
      </c>
      <c r="X104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04" s="12" t="s">
        <v>762</v>
      </c>
      <c r="Z104" s="12" t="s">
        <v>762</v>
      </c>
      <c r="AA104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04" s="12" t="s">
        <v>762</v>
      </c>
      <c r="AC104" s="12" t="s">
        <v>762</v>
      </c>
      <c r="AD104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04" s="12" t="s">
        <v>762</v>
      </c>
      <c r="AF104" s="12" t="s">
        <v>762</v>
      </c>
      <c r="AG104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04" s="12" t="s">
        <v>762</v>
      </c>
      <c r="AI104" s="12" t="s">
        <v>762</v>
      </c>
      <c r="AJ104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04" s="12" t="s">
        <v>762</v>
      </c>
      <c r="AL104" s="12" t="s">
        <v>775</v>
      </c>
      <c r="AM104" s="12" t="s">
        <v>774</v>
      </c>
      <c r="AN104" s="12"/>
      <c r="AO104" s="12" t="s">
        <v>323</v>
      </c>
      <c r="AP104" s="12"/>
      <c r="AQ104" s="12" t="s">
        <v>42</v>
      </c>
      <c r="AR104" s="14"/>
      <c r="AS104" s="14"/>
      <c r="AT104" s="13">
        <v>43524</v>
      </c>
      <c r="AU104" s="14" t="s">
        <v>825</v>
      </c>
    </row>
    <row r="105" spans="1:47" ht="18.75" x14ac:dyDescent="0.3">
      <c r="A105" s="12" t="s">
        <v>686</v>
      </c>
      <c r="B105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TK862639</v>
      </c>
      <c r="C105" s="12" t="s">
        <v>687</v>
      </c>
      <c r="D105" s="12" t="s">
        <v>688</v>
      </c>
      <c r="E105" s="12" t="s">
        <v>643</v>
      </c>
      <c r="F105" s="13">
        <v>43526</v>
      </c>
      <c r="G105" s="13">
        <v>43526</v>
      </c>
      <c r="H105" s="12" t="s">
        <v>36</v>
      </c>
      <c r="I105" s="13">
        <v>43525</v>
      </c>
      <c r="J105" s="12" t="s">
        <v>66</v>
      </c>
      <c r="K105" s="12" t="s">
        <v>34</v>
      </c>
      <c r="L105" s="14">
        <v>3</v>
      </c>
      <c r="M105" s="14">
        <v>18</v>
      </c>
      <c r="N105" s="14">
        <v>4</v>
      </c>
      <c r="O105" s="14"/>
      <c r="P105" s="14"/>
      <c r="Q105" s="12" t="s">
        <v>30</v>
      </c>
      <c r="R105" s="12" t="s">
        <v>30</v>
      </c>
      <c r="S105" s="12" t="s">
        <v>33</v>
      </c>
      <c r="T105" s="12" t="s">
        <v>1022</v>
      </c>
      <c r="U105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293631 Verified</v>
      </c>
      <c r="V105" s="12" t="s">
        <v>784</v>
      </c>
      <c r="W105" s="12" t="s">
        <v>762</v>
      </c>
      <c r="X105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05" s="12" t="s">
        <v>762</v>
      </c>
      <c r="Z105" s="12" t="s">
        <v>762</v>
      </c>
      <c r="AA105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05" s="12" t="s">
        <v>762</v>
      </c>
      <c r="AC105" s="12" t="s">
        <v>762</v>
      </c>
      <c r="AD105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05" s="12" t="s">
        <v>762</v>
      </c>
      <c r="AF105" s="12" t="s">
        <v>762</v>
      </c>
      <c r="AG105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05" s="12" t="s">
        <v>762</v>
      </c>
      <c r="AI105" s="12" t="s">
        <v>762</v>
      </c>
      <c r="AJ105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05" s="12" t="s">
        <v>762</v>
      </c>
      <c r="AL105" s="12" t="s">
        <v>644</v>
      </c>
      <c r="AM105" s="12" t="s">
        <v>39</v>
      </c>
      <c r="AN105" s="12"/>
      <c r="AO105" s="12" t="s">
        <v>66</v>
      </c>
      <c r="AP105" s="12" t="s">
        <v>66</v>
      </c>
      <c r="AQ105" s="12"/>
      <c r="AR105" s="14"/>
      <c r="AS105" s="14"/>
      <c r="AT105" s="13">
        <v>43524</v>
      </c>
      <c r="AU105" s="14" t="s">
        <v>829</v>
      </c>
    </row>
    <row r="106" spans="1:47" ht="18.75" x14ac:dyDescent="0.3">
      <c r="A106" s="12" t="s">
        <v>330</v>
      </c>
      <c r="B106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TK859397</v>
      </c>
      <c r="C106" s="12" t="s">
        <v>331</v>
      </c>
      <c r="D106" s="12" t="s">
        <v>332</v>
      </c>
      <c r="E106" s="12" t="s">
        <v>322</v>
      </c>
      <c r="F106" s="13">
        <v>43527</v>
      </c>
      <c r="G106" s="13">
        <v>43527</v>
      </c>
      <c r="H106" s="12" t="s">
        <v>36</v>
      </c>
      <c r="I106" s="13">
        <v>43586</v>
      </c>
      <c r="J106" s="12" t="s">
        <v>66</v>
      </c>
      <c r="K106" s="12" t="s">
        <v>34</v>
      </c>
      <c r="L106" s="14">
        <v>3</v>
      </c>
      <c r="M106" s="14">
        <v>6</v>
      </c>
      <c r="N106" s="14">
        <v>2</v>
      </c>
      <c r="O106" s="14"/>
      <c r="P106" s="14"/>
      <c r="Q106" s="12" t="s">
        <v>30</v>
      </c>
      <c r="R106" s="12" t="s">
        <v>30</v>
      </c>
      <c r="S106" s="12" t="s">
        <v>33</v>
      </c>
      <c r="T106" s="12" t="s">
        <v>1049</v>
      </c>
      <c r="U106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285244 TRA</v>
      </c>
      <c r="V106" s="12" t="s">
        <v>781</v>
      </c>
      <c r="W106" s="12" t="s">
        <v>762</v>
      </c>
      <c r="X106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06" s="12" t="s">
        <v>762</v>
      </c>
      <c r="Z106" s="12" t="s">
        <v>762</v>
      </c>
      <c r="AA106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06" s="12" t="s">
        <v>762</v>
      </c>
      <c r="AC106" s="12" t="s">
        <v>762</v>
      </c>
      <c r="AD106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06" s="12" t="s">
        <v>762</v>
      </c>
      <c r="AF106" s="12" t="s">
        <v>762</v>
      </c>
      <c r="AG106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06" s="12" t="s">
        <v>762</v>
      </c>
      <c r="AI106" s="12" t="s">
        <v>762</v>
      </c>
      <c r="AJ106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06" s="12" t="s">
        <v>762</v>
      </c>
      <c r="AL106" s="12" t="s">
        <v>775</v>
      </c>
      <c r="AM106" s="12" t="s">
        <v>774</v>
      </c>
      <c r="AN106" s="12"/>
      <c r="AO106" s="12" t="s">
        <v>66</v>
      </c>
      <c r="AP106" s="12"/>
      <c r="AQ106" s="12"/>
      <c r="AR106" s="14"/>
      <c r="AS106" s="14"/>
      <c r="AT106" s="13">
        <v>43524</v>
      </c>
      <c r="AU106" s="14" t="s">
        <v>825</v>
      </c>
    </row>
    <row r="107" spans="1:47" ht="18.75" x14ac:dyDescent="0.3">
      <c r="A107" s="12" t="s">
        <v>333</v>
      </c>
      <c r="B107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TK788654</v>
      </c>
      <c r="C107" s="12" t="s">
        <v>334</v>
      </c>
      <c r="D107" s="12" t="s">
        <v>335</v>
      </c>
      <c r="E107" s="12" t="s">
        <v>305</v>
      </c>
      <c r="F107" s="13">
        <v>43527</v>
      </c>
      <c r="G107" s="13">
        <v>43527</v>
      </c>
      <c r="H107" s="12" t="s">
        <v>36</v>
      </c>
      <c r="I107" s="13">
        <v>43538</v>
      </c>
      <c r="J107" s="12" t="s">
        <v>66</v>
      </c>
      <c r="K107" s="12" t="s">
        <v>34</v>
      </c>
      <c r="L107" s="14">
        <v>3</v>
      </c>
      <c r="M107" s="14">
        <v>24</v>
      </c>
      <c r="N107" s="14">
        <v>3</v>
      </c>
      <c r="O107" s="14"/>
      <c r="P107" s="14"/>
      <c r="Q107" s="12" t="s">
        <v>30</v>
      </c>
      <c r="R107" s="12" t="s">
        <v>30</v>
      </c>
      <c r="S107" s="12" t="s">
        <v>33</v>
      </c>
      <c r="T107" s="12" t="s">
        <v>1046</v>
      </c>
      <c r="U107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296489 RTV</v>
      </c>
      <c r="V107" s="12" t="s">
        <v>786</v>
      </c>
      <c r="W107" s="12" t="s">
        <v>762</v>
      </c>
      <c r="X107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07" s="12" t="s">
        <v>762</v>
      </c>
      <c r="Z107" s="12" t="s">
        <v>762</v>
      </c>
      <c r="AA107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07" s="12" t="s">
        <v>762</v>
      </c>
      <c r="AC107" s="12" t="s">
        <v>762</v>
      </c>
      <c r="AD107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07" s="12" t="s">
        <v>762</v>
      </c>
      <c r="AF107" s="12" t="s">
        <v>762</v>
      </c>
      <c r="AG107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07" s="12" t="s">
        <v>762</v>
      </c>
      <c r="AI107" s="12" t="s">
        <v>762</v>
      </c>
      <c r="AJ107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07" s="12" t="s">
        <v>762</v>
      </c>
      <c r="AL107" s="12"/>
      <c r="AM107" s="12"/>
      <c r="AN107" s="12"/>
      <c r="AO107" s="12" t="s">
        <v>66</v>
      </c>
      <c r="AP107" s="12"/>
      <c r="AQ107" s="12"/>
      <c r="AR107" s="14"/>
      <c r="AS107" s="14"/>
      <c r="AT107" s="13">
        <v>43524</v>
      </c>
      <c r="AU107" s="14" t="s">
        <v>831</v>
      </c>
    </row>
    <row r="108" spans="1:47" ht="18.75" x14ac:dyDescent="0.3">
      <c r="A108" s="12" t="s">
        <v>324</v>
      </c>
      <c r="B108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TK788653</v>
      </c>
      <c r="C108" s="12" t="s">
        <v>325</v>
      </c>
      <c r="D108" s="12" t="s">
        <v>326</v>
      </c>
      <c r="E108" s="12" t="s">
        <v>305</v>
      </c>
      <c r="F108" s="13">
        <v>43527</v>
      </c>
      <c r="G108" s="13">
        <v>43527</v>
      </c>
      <c r="H108" s="12" t="s">
        <v>36</v>
      </c>
      <c r="I108" s="13">
        <v>43538</v>
      </c>
      <c r="J108" s="12" t="s">
        <v>66</v>
      </c>
      <c r="K108" s="12" t="s">
        <v>34</v>
      </c>
      <c r="L108" s="14">
        <v>3</v>
      </c>
      <c r="M108" s="14">
        <v>12</v>
      </c>
      <c r="N108" s="14">
        <v>3</v>
      </c>
      <c r="O108" s="14"/>
      <c r="P108" s="14"/>
      <c r="Q108" s="12" t="s">
        <v>30</v>
      </c>
      <c r="R108" s="12" t="s">
        <v>30</v>
      </c>
      <c r="S108" s="12" t="s">
        <v>33</v>
      </c>
      <c r="T108" s="12" t="s">
        <v>1046</v>
      </c>
      <c r="U108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296489 RTV</v>
      </c>
      <c r="V108" s="12" t="s">
        <v>786</v>
      </c>
      <c r="W108" s="12" t="s">
        <v>762</v>
      </c>
      <c r="X108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08" s="12" t="s">
        <v>762</v>
      </c>
      <c r="Z108" s="12" t="s">
        <v>762</v>
      </c>
      <c r="AA108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08" s="12" t="s">
        <v>762</v>
      </c>
      <c r="AC108" s="12" t="s">
        <v>762</v>
      </c>
      <c r="AD108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08" s="12" t="s">
        <v>762</v>
      </c>
      <c r="AF108" s="12" t="s">
        <v>762</v>
      </c>
      <c r="AG108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08" s="12" t="s">
        <v>762</v>
      </c>
      <c r="AI108" s="12" t="s">
        <v>762</v>
      </c>
      <c r="AJ108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08" s="12" t="s">
        <v>762</v>
      </c>
      <c r="AL108" s="12"/>
      <c r="AM108" s="12"/>
      <c r="AN108" s="12"/>
      <c r="AO108" s="12" t="s">
        <v>66</v>
      </c>
      <c r="AP108" s="12"/>
      <c r="AQ108" s="12"/>
      <c r="AR108" s="14"/>
      <c r="AS108" s="14"/>
      <c r="AT108" s="13">
        <v>43524</v>
      </c>
      <c r="AU108" s="14" t="s">
        <v>831</v>
      </c>
    </row>
    <row r="109" spans="1:47" ht="18.75" x14ac:dyDescent="0.3">
      <c r="A109" s="12" t="s">
        <v>336</v>
      </c>
      <c r="B109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TK865549</v>
      </c>
      <c r="C109" s="12" t="s">
        <v>337</v>
      </c>
      <c r="D109" s="12" t="s">
        <v>338</v>
      </c>
      <c r="E109" s="12" t="s">
        <v>339</v>
      </c>
      <c r="F109" s="13">
        <v>43528</v>
      </c>
      <c r="G109" s="13">
        <v>43528</v>
      </c>
      <c r="H109" s="12" t="s">
        <v>36</v>
      </c>
      <c r="I109" s="13">
        <v>43531</v>
      </c>
      <c r="J109" s="12" t="s">
        <v>66</v>
      </c>
      <c r="K109" s="12" t="s">
        <v>29</v>
      </c>
      <c r="L109" s="14">
        <v>3</v>
      </c>
      <c r="M109" s="14">
        <v>18</v>
      </c>
      <c r="N109" s="14">
        <v>2</v>
      </c>
      <c r="O109" s="14"/>
      <c r="P109" s="14"/>
      <c r="Q109" s="12" t="s">
        <v>30</v>
      </c>
      <c r="R109" s="12" t="s">
        <v>42</v>
      </c>
      <c r="S109" s="12" t="s">
        <v>33</v>
      </c>
      <c r="T109" s="12" t="s">
        <v>1050</v>
      </c>
      <c r="U109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297335 TRA</v>
      </c>
      <c r="V109" s="12" t="s">
        <v>781</v>
      </c>
      <c r="W109" s="12" t="s">
        <v>762</v>
      </c>
      <c r="X109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09" s="12" t="s">
        <v>762</v>
      </c>
      <c r="Z109" s="12" t="s">
        <v>762</v>
      </c>
      <c r="AA109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09" s="12" t="s">
        <v>762</v>
      </c>
      <c r="AC109" s="12" t="s">
        <v>762</v>
      </c>
      <c r="AD109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09" s="12" t="s">
        <v>762</v>
      </c>
      <c r="AF109" s="12" t="s">
        <v>762</v>
      </c>
      <c r="AG109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09" s="12" t="s">
        <v>762</v>
      </c>
      <c r="AI109" s="12" t="s">
        <v>762</v>
      </c>
      <c r="AJ109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09" s="12" t="s">
        <v>762</v>
      </c>
      <c r="AL109" s="12" t="s">
        <v>689</v>
      </c>
      <c r="AM109" s="12" t="s">
        <v>67</v>
      </c>
      <c r="AN109" s="12"/>
      <c r="AO109" s="12" t="s">
        <v>66</v>
      </c>
      <c r="AP109" s="12"/>
      <c r="AQ109" s="12"/>
      <c r="AR109" s="14"/>
      <c r="AS109" s="14"/>
      <c r="AT109" s="13">
        <v>43524</v>
      </c>
      <c r="AU109" s="14" t="s">
        <v>825</v>
      </c>
    </row>
    <row r="110" spans="1:47" ht="18.75" x14ac:dyDescent="0.3">
      <c r="A110" s="12"/>
      <c r="B110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3/7/2019</v>
      </c>
      <c r="C110" s="12" t="s">
        <v>62</v>
      </c>
      <c r="D110" s="12"/>
      <c r="E110" s="12"/>
      <c r="F110" s="13"/>
      <c r="G110" s="13"/>
      <c r="H110" s="12"/>
      <c r="I110" s="13"/>
      <c r="J110" s="12"/>
      <c r="K110" s="12"/>
      <c r="L110" s="14"/>
      <c r="M110" s="14"/>
      <c r="N110" s="14"/>
      <c r="O110" s="14"/>
      <c r="P110" s="14"/>
      <c r="Q110" s="12"/>
      <c r="R110" s="12"/>
      <c r="S110" s="12"/>
      <c r="T110" s="12" t="s">
        <v>762</v>
      </c>
      <c r="U110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10" s="12" t="s">
        <v>762</v>
      </c>
      <c r="W110" s="12" t="s">
        <v>762</v>
      </c>
      <c r="X110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10" s="12" t="s">
        <v>762</v>
      </c>
      <c r="Z110" s="12" t="s">
        <v>762</v>
      </c>
      <c r="AA110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10" s="12" t="s">
        <v>762</v>
      </c>
      <c r="AC110" s="12" t="s">
        <v>762</v>
      </c>
      <c r="AD110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10" s="12" t="s">
        <v>762</v>
      </c>
      <c r="AF110" s="12" t="s">
        <v>762</v>
      </c>
      <c r="AG110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10" s="12" t="s">
        <v>762</v>
      </c>
      <c r="AI110" s="12" t="s">
        <v>762</v>
      </c>
      <c r="AJ110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10" s="12" t="s">
        <v>762</v>
      </c>
      <c r="AL110" s="12"/>
      <c r="AM110" s="12"/>
      <c r="AN110" s="12"/>
      <c r="AO110" s="12"/>
      <c r="AP110" s="12"/>
      <c r="AQ110" s="12"/>
      <c r="AR110" s="14"/>
      <c r="AS110" s="14"/>
      <c r="AT110" s="13">
        <v>43531</v>
      </c>
      <c r="AU110" s="14"/>
    </row>
    <row r="111" spans="1:47" ht="18.75" x14ac:dyDescent="0.3">
      <c r="A111" s="12" t="s">
        <v>343</v>
      </c>
      <c r="B111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TK823980</v>
      </c>
      <c r="C111" s="12" t="s">
        <v>344</v>
      </c>
      <c r="D111" s="12" t="s">
        <v>345</v>
      </c>
      <c r="E111" s="12" t="s">
        <v>346</v>
      </c>
      <c r="F111" s="13">
        <v>43530</v>
      </c>
      <c r="G111" s="13">
        <v>43530</v>
      </c>
      <c r="H111" s="12" t="s">
        <v>36</v>
      </c>
      <c r="I111" s="13">
        <v>43695</v>
      </c>
      <c r="J111" s="12" t="s">
        <v>66</v>
      </c>
      <c r="K111" s="12" t="s">
        <v>34</v>
      </c>
      <c r="L111" s="14">
        <v>3</v>
      </c>
      <c r="M111" s="14">
        <v>18</v>
      </c>
      <c r="N111" s="14">
        <v>3</v>
      </c>
      <c r="O111" s="14"/>
      <c r="P111" s="14"/>
      <c r="Q111" s="12" t="s">
        <v>30</v>
      </c>
      <c r="R111" s="12" t="s">
        <v>30</v>
      </c>
      <c r="S111" s="12" t="s">
        <v>33</v>
      </c>
      <c r="T111" s="12" t="s">
        <v>1051</v>
      </c>
      <c r="U111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297232 RTV</v>
      </c>
      <c r="V111" s="12" t="s">
        <v>786</v>
      </c>
      <c r="W111" s="12" t="s">
        <v>762</v>
      </c>
      <c r="X111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11" s="12" t="s">
        <v>762</v>
      </c>
      <c r="Z111" s="12" t="s">
        <v>762</v>
      </c>
      <c r="AA111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11" s="12" t="s">
        <v>762</v>
      </c>
      <c r="AC111" s="12" t="s">
        <v>762</v>
      </c>
      <c r="AD111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11" s="12" t="s">
        <v>762</v>
      </c>
      <c r="AF111" s="12" t="s">
        <v>762</v>
      </c>
      <c r="AG111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11" s="12" t="s">
        <v>762</v>
      </c>
      <c r="AI111" s="12" t="s">
        <v>762</v>
      </c>
      <c r="AJ111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11" s="12" t="s">
        <v>762</v>
      </c>
      <c r="AL111" s="12"/>
      <c r="AM111" s="12"/>
      <c r="AN111" s="12"/>
      <c r="AO111" s="12" t="s">
        <v>66</v>
      </c>
      <c r="AP111" s="12" t="s">
        <v>66</v>
      </c>
      <c r="AQ111" s="12"/>
      <c r="AR111" s="14"/>
      <c r="AS111" s="14"/>
      <c r="AT111" s="13">
        <v>43531</v>
      </c>
      <c r="AU111" s="14" t="s">
        <v>832</v>
      </c>
    </row>
    <row r="112" spans="1:47" ht="18.75" x14ac:dyDescent="0.3">
      <c r="A112" s="12" t="s">
        <v>347</v>
      </c>
      <c r="B112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TK858649</v>
      </c>
      <c r="C112" s="12" t="s">
        <v>348</v>
      </c>
      <c r="D112" s="12" t="s">
        <v>349</v>
      </c>
      <c r="E112" s="12" t="s">
        <v>350</v>
      </c>
      <c r="F112" s="13">
        <v>43531</v>
      </c>
      <c r="G112" s="13">
        <v>43531</v>
      </c>
      <c r="H112" s="12" t="s">
        <v>36</v>
      </c>
      <c r="I112" s="13">
        <v>43586</v>
      </c>
      <c r="J112" s="12" t="s">
        <v>66</v>
      </c>
      <c r="K112" s="12" t="s">
        <v>34</v>
      </c>
      <c r="L112" s="14">
        <v>3</v>
      </c>
      <c r="M112" s="14">
        <v>24</v>
      </c>
      <c r="N112" s="14">
        <v>2</v>
      </c>
      <c r="O112" s="14"/>
      <c r="P112" s="14"/>
      <c r="Q112" s="12" t="s">
        <v>30</v>
      </c>
      <c r="R112" s="12" t="s">
        <v>30</v>
      </c>
      <c r="S112" s="12" t="s">
        <v>33</v>
      </c>
      <c r="T112" s="12" t="s">
        <v>1052</v>
      </c>
      <c r="U112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300914 RTV</v>
      </c>
      <c r="V112" s="12" t="s">
        <v>786</v>
      </c>
      <c r="W112" s="12" t="s">
        <v>762</v>
      </c>
      <c r="X112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12" s="12" t="s">
        <v>762</v>
      </c>
      <c r="Z112" s="12" t="s">
        <v>762</v>
      </c>
      <c r="AA112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12" s="12" t="s">
        <v>762</v>
      </c>
      <c r="AC112" s="12" t="s">
        <v>762</v>
      </c>
      <c r="AD112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12" s="12" t="s">
        <v>762</v>
      </c>
      <c r="AF112" s="12" t="s">
        <v>762</v>
      </c>
      <c r="AG112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12" s="12" t="s">
        <v>762</v>
      </c>
      <c r="AI112" s="12" t="s">
        <v>762</v>
      </c>
      <c r="AJ112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12" s="12" t="s">
        <v>762</v>
      </c>
      <c r="AL112" s="12"/>
      <c r="AM112" s="12"/>
      <c r="AN112" s="12"/>
      <c r="AO112" s="12" t="s">
        <v>66</v>
      </c>
      <c r="AP112" s="12"/>
      <c r="AQ112" s="12"/>
      <c r="AR112" s="14"/>
      <c r="AS112" s="14"/>
      <c r="AT112" s="13">
        <v>43531</v>
      </c>
      <c r="AU112" s="14"/>
    </row>
    <row r="113" spans="1:47" ht="18.75" x14ac:dyDescent="0.3">
      <c r="A113" s="12" t="s">
        <v>351</v>
      </c>
      <c r="B113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TK823960</v>
      </c>
      <c r="C113" s="12" t="s">
        <v>352</v>
      </c>
      <c r="D113" s="12" t="s">
        <v>353</v>
      </c>
      <c r="E113" s="12" t="s">
        <v>346</v>
      </c>
      <c r="F113" s="13">
        <v>43531</v>
      </c>
      <c r="G113" s="13">
        <v>43531</v>
      </c>
      <c r="H113" s="12" t="s">
        <v>36</v>
      </c>
      <c r="I113" s="13">
        <v>43695</v>
      </c>
      <c r="J113" s="12" t="s">
        <v>66</v>
      </c>
      <c r="K113" s="12" t="s">
        <v>29</v>
      </c>
      <c r="L113" s="14">
        <v>3</v>
      </c>
      <c r="M113" s="14">
        <v>18</v>
      </c>
      <c r="N113" s="14">
        <v>3</v>
      </c>
      <c r="O113" s="14"/>
      <c r="P113" s="14"/>
      <c r="Q113" s="12" t="s">
        <v>30</v>
      </c>
      <c r="R113" s="12" t="s">
        <v>30</v>
      </c>
      <c r="S113" s="12" t="s">
        <v>33</v>
      </c>
      <c r="T113" s="12" t="s">
        <v>1051</v>
      </c>
      <c r="U113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297232 RTV</v>
      </c>
      <c r="V113" s="12" t="s">
        <v>786</v>
      </c>
      <c r="W113" s="12" t="s">
        <v>762</v>
      </c>
      <c r="X113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13" s="12" t="s">
        <v>762</v>
      </c>
      <c r="Z113" s="12" t="s">
        <v>762</v>
      </c>
      <c r="AA113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13" s="12" t="s">
        <v>762</v>
      </c>
      <c r="AC113" s="12" t="s">
        <v>762</v>
      </c>
      <c r="AD113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13" s="12" t="s">
        <v>762</v>
      </c>
      <c r="AF113" s="12" t="s">
        <v>762</v>
      </c>
      <c r="AG113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13" s="12" t="s">
        <v>762</v>
      </c>
      <c r="AI113" s="12" t="s">
        <v>762</v>
      </c>
      <c r="AJ113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13" s="12" t="s">
        <v>762</v>
      </c>
      <c r="AL113" s="12"/>
      <c r="AM113" s="12"/>
      <c r="AN113" s="12"/>
      <c r="AO113" s="12" t="s">
        <v>66</v>
      </c>
      <c r="AP113" s="12" t="s">
        <v>66</v>
      </c>
      <c r="AQ113" s="12"/>
      <c r="AR113" s="14"/>
      <c r="AS113" s="14"/>
      <c r="AT113" s="13">
        <v>43531</v>
      </c>
      <c r="AU113" s="14" t="s">
        <v>832</v>
      </c>
    </row>
    <row r="114" spans="1:47" ht="18.75" x14ac:dyDescent="0.3">
      <c r="A114" s="12" t="s">
        <v>810</v>
      </c>
      <c r="B114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TK868265</v>
      </c>
      <c r="C114" s="12" t="s">
        <v>811</v>
      </c>
      <c r="D114" s="12" t="s">
        <v>812</v>
      </c>
      <c r="E114" s="12" t="s">
        <v>813</v>
      </c>
      <c r="F114" s="13">
        <v>43532</v>
      </c>
      <c r="G114" s="13">
        <v>43534</v>
      </c>
      <c r="H114" s="12" t="s">
        <v>36</v>
      </c>
      <c r="I114" s="13">
        <v>43555</v>
      </c>
      <c r="J114" s="12" t="s">
        <v>66</v>
      </c>
      <c r="K114" s="12" t="s">
        <v>34</v>
      </c>
      <c r="L114" s="14">
        <v>3</v>
      </c>
      <c r="M114" s="14">
        <v>103.5</v>
      </c>
      <c r="N114" s="14">
        <v>3</v>
      </c>
      <c r="O114" s="14"/>
      <c r="P114" s="14"/>
      <c r="Q114" s="12" t="s">
        <v>30</v>
      </c>
      <c r="R114" s="12" t="s">
        <v>30</v>
      </c>
      <c r="S114" s="12" t="s">
        <v>33</v>
      </c>
      <c r="T114" s="12" t="s">
        <v>762</v>
      </c>
      <c r="U114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14" s="12" t="s">
        <v>762</v>
      </c>
      <c r="W114" s="12" t="s">
        <v>762</v>
      </c>
      <c r="X114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14" s="12" t="s">
        <v>762</v>
      </c>
      <c r="Z114" s="12" t="s">
        <v>762</v>
      </c>
      <c r="AA114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14" s="12" t="s">
        <v>762</v>
      </c>
      <c r="AC114" s="12" t="s">
        <v>762</v>
      </c>
      <c r="AD114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14" s="12" t="s">
        <v>762</v>
      </c>
      <c r="AF114" s="12" t="s">
        <v>762</v>
      </c>
      <c r="AG114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14" s="12" t="s">
        <v>762</v>
      </c>
      <c r="AI114" s="12" t="s">
        <v>762</v>
      </c>
      <c r="AJ114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14" s="12" t="s">
        <v>762</v>
      </c>
      <c r="AL114" s="12"/>
      <c r="AM114" s="12"/>
      <c r="AN114" s="12"/>
      <c r="AO114" s="12" t="s">
        <v>66</v>
      </c>
      <c r="AP114" s="12" t="s">
        <v>66</v>
      </c>
      <c r="AQ114" s="12"/>
      <c r="AR114" s="14"/>
      <c r="AS114" s="14"/>
      <c r="AT114" s="13">
        <v>43531</v>
      </c>
      <c r="AU114" s="14"/>
    </row>
    <row r="115" spans="1:47" ht="18.75" x14ac:dyDescent="0.3">
      <c r="A115" s="12" t="s">
        <v>354</v>
      </c>
      <c r="B115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TK831792</v>
      </c>
      <c r="C115" s="12" t="s">
        <v>355</v>
      </c>
      <c r="D115" s="12" t="s">
        <v>356</v>
      </c>
      <c r="E115" s="12" t="s">
        <v>357</v>
      </c>
      <c r="F115" s="13">
        <v>43532</v>
      </c>
      <c r="G115" s="13">
        <v>43532</v>
      </c>
      <c r="H115" s="12" t="s">
        <v>36</v>
      </c>
      <c r="I115" s="13">
        <v>43695</v>
      </c>
      <c r="J115" s="12" t="s">
        <v>66</v>
      </c>
      <c r="K115" s="12" t="s">
        <v>34</v>
      </c>
      <c r="L115" s="14">
        <v>3</v>
      </c>
      <c r="M115" s="14">
        <v>12</v>
      </c>
      <c r="N115" s="14">
        <v>3</v>
      </c>
      <c r="O115" s="14"/>
      <c r="P115" s="14"/>
      <c r="Q115" s="12" t="s">
        <v>30</v>
      </c>
      <c r="R115" s="12" t="s">
        <v>30</v>
      </c>
      <c r="S115" s="12" t="s">
        <v>33</v>
      </c>
      <c r="T115" s="12" t="s">
        <v>1051</v>
      </c>
      <c r="U115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297232 RTV</v>
      </c>
      <c r="V115" s="12" t="s">
        <v>786</v>
      </c>
      <c r="W115" s="12" t="s">
        <v>762</v>
      </c>
      <c r="X115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15" s="12" t="s">
        <v>762</v>
      </c>
      <c r="Z115" s="12" t="s">
        <v>762</v>
      </c>
      <c r="AA115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15" s="12" t="s">
        <v>762</v>
      </c>
      <c r="AC115" s="12" t="s">
        <v>762</v>
      </c>
      <c r="AD115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15" s="12" t="s">
        <v>762</v>
      </c>
      <c r="AF115" s="12" t="s">
        <v>762</v>
      </c>
      <c r="AG115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15" s="12" t="s">
        <v>762</v>
      </c>
      <c r="AI115" s="12" t="s">
        <v>762</v>
      </c>
      <c r="AJ115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15" s="12" t="s">
        <v>762</v>
      </c>
      <c r="AL115" s="12"/>
      <c r="AM115" s="12"/>
      <c r="AN115" s="12"/>
      <c r="AO115" s="12" t="s">
        <v>66</v>
      </c>
      <c r="AP115" s="12"/>
      <c r="AQ115" s="12"/>
      <c r="AR115" s="14"/>
      <c r="AS115" s="14"/>
      <c r="AT115" s="13">
        <v>43531</v>
      </c>
      <c r="AU115" s="14" t="s">
        <v>832</v>
      </c>
    </row>
    <row r="116" spans="1:47" ht="18.75" x14ac:dyDescent="0.3">
      <c r="A116" s="12" t="s">
        <v>358</v>
      </c>
      <c r="B116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TK858602</v>
      </c>
      <c r="C116" s="12" t="s">
        <v>359</v>
      </c>
      <c r="D116" s="12" t="s">
        <v>360</v>
      </c>
      <c r="E116" s="12" t="s">
        <v>350</v>
      </c>
      <c r="F116" s="13">
        <v>43532</v>
      </c>
      <c r="G116" s="13">
        <v>43533</v>
      </c>
      <c r="H116" s="12" t="s">
        <v>36</v>
      </c>
      <c r="I116" s="13">
        <v>43586</v>
      </c>
      <c r="J116" s="12" t="s">
        <v>66</v>
      </c>
      <c r="K116" s="12" t="s">
        <v>29</v>
      </c>
      <c r="L116" s="14">
        <v>3</v>
      </c>
      <c r="M116" s="14">
        <v>69</v>
      </c>
      <c r="N116" s="14">
        <v>2</v>
      </c>
      <c r="O116" s="14"/>
      <c r="P116" s="14"/>
      <c r="Q116" s="12" t="s">
        <v>30</v>
      </c>
      <c r="R116" s="12" t="s">
        <v>42</v>
      </c>
      <c r="S116" s="12" t="s">
        <v>33</v>
      </c>
      <c r="T116" s="12" t="s">
        <v>1053</v>
      </c>
      <c r="U116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285183 Verified</v>
      </c>
      <c r="V116" s="12" t="s">
        <v>784</v>
      </c>
      <c r="W116" s="12" t="s">
        <v>762</v>
      </c>
      <c r="X116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16" s="12" t="s">
        <v>762</v>
      </c>
      <c r="Z116" s="12" t="s">
        <v>762</v>
      </c>
      <c r="AA116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16" s="12" t="s">
        <v>762</v>
      </c>
      <c r="AC116" s="12" t="s">
        <v>762</v>
      </c>
      <c r="AD116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16" s="12" t="s">
        <v>762</v>
      </c>
      <c r="AF116" s="12" t="s">
        <v>762</v>
      </c>
      <c r="AG116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16" s="12" t="s">
        <v>762</v>
      </c>
      <c r="AI116" s="12" t="s">
        <v>762</v>
      </c>
      <c r="AJ116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16" s="12" t="s">
        <v>762</v>
      </c>
      <c r="AL116" s="12" t="s">
        <v>690</v>
      </c>
      <c r="AM116" s="12" t="s">
        <v>691</v>
      </c>
      <c r="AN116" s="12"/>
      <c r="AO116" s="12" t="s">
        <v>66</v>
      </c>
      <c r="AP116" s="12"/>
      <c r="AQ116" s="12" t="s">
        <v>42</v>
      </c>
      <c r="AR116" s="14"/>
      <c r="AS116" s="14"/>
      <c r="AT116" s="13">
        <v>43531</v>
      </c>
      <c r="AU116" s="14"/>
    </row>
    <row r="117" spans="1:47" ht="18.75" x14ac:dyDescent="0.3">
      <c r="A117" s="12" t="s">
        <v>361</v>
      </c>
      <c r="B117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TK824006</v>
      </c>
      <c r="C117" s="12" t="s">
        <v>362</v>
      </c>
      <c r="D117" s="12" t="s">
        <v>363</v>
      </c>
      <c r="E117" s="12" t="s">
        <v>346</v>
      </c>
      <c r="F117" s="13">
        <v>43532</v>
      </c>
      <c r="G117" s="13">
        <v>43532</v>
      </c>
      <c r="H117" s="12" t="s">
        <v>36</v>
      </c>
      <c r="I117" s="13">
        <v>43695</v>
      </c>
      <c r="J117" s="12" t="s">
        <v>66</v>
      </c>
      <c r="K117" s="12" t="s">
        <v>34</v>
      </c>
      <c r="L117" s="14">
        <v>3</v>
      </c>
      <c r="M117" s="14">
        <v>15</v>
      </c>
      <c r="N117" s="14">
        <v>3</v>
      </c>
      <c r="O117" s="14"/>
      <c r="P117" s="14"/>
      <c r="Q117" s="12" t="s">
        <v>30</v>
      </c>
      <c r="R117" s="12" t="s">
        <v>30</v>
      </c>
      <c r="S117" s="12" t="s">
        <v>33</v>
      </c>
      <c r="T117" s="12" t="s">
        <v>1051</v>
      </c>
      <c r="U117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297232 RTV</v>
      </c>
      <c r="V117" s="12" t="s">
        <v>786</v>
      </c>
      <c r="W117" s="12" t="s">
        <v>762</v>
      </c>
      <c r="X117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17" s="12" t="s">
        <v>762</v>
      </c>
      <c r="Z117" s="12" t="s">
        <v>762</v>
      </c>
      <c r="AA117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17" s="12" t="s">
        <v>762</v>
      </c>
      <c r="AC117" s="12" t="s">
        <v>762</v>
      </c>
      <c r="AD117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17" s="12" t="s">
        <v>762</v>
      </c>
      <c r="AF117" s="12" t="s">
        <v>762</v>
      </c>
      <c r="AG117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17" s="12" t="s">
        <v>762</v>
      </c>
      <c r="AI117" s="12" t="s">
        <v>762</v>
      </c>
      <c r="AJ117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17" s="12" t="s">
        <v>762</v>
      </c>
      <c r="AL117" s="12"/>
      <c r="AM117" s="12"/>
      <c r="AN117" s="12"/>
      <c r="AO117" s="12" t="s">
        <v>66</v>
      </c>
      <c r="AP117" s="12" t="s">
        <v>66</v>
      </c>
      <c r="AQ117" s="12"/>
      <c r="AR117" s="14"/>
      <c r="AS117" s="14"/>
      <c r="AT117" s="13">
        <v>43531</v>
      </c>
      <c r="AU117" s="14" t="s">
        <v>832</v>
      </c>
    </row>
    <row r="118" spans="1:47" ht="18.75" x14ac:dyDescent="0.3">
      <c r="A118" s="12" t="s">
        <v>364</v>
      </c>
      <c r="B118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TK858651</v>
      </c>
      <c r="C118" s="12" t="s">
        <v>365</v>
      </c>
      <c r="D118" s="12" t="s">
        <v>366</v>
      </c>
      <c r="E118" s="12" t="s">
        <v>350</v>
      </c>
      <c r="F118" s="13">
        <v>43534</v>
      </c>
      <c r="G118" s="13">
        <v>43534</v>
      </c>
      <c r="H118" s="12" t="s">
        <v>36</v>
      </c>
      <c r="I118" s="13">
        <v>43586</v>
      </c>
      <c r="J118" s="12" t="s">
        <v>66</v>
      </c>
      <c r="K118" s="12" t="s">
        <v>34</v>
      </c>
      <c r="L118" s="14">
        <v>3</v>
      </c>
      <c r="M118" s="14">
        <v>12</v>
      </c>
      <c r="N118" s="14">
        <v>2</v>
      </c>
      <c r="O118" s="14"/>
      <c r="P118" s="14"/>
      <c r="Q118" s="12" t="s">
        <v>30</v>
      </c>
      <c r="R118" s="12" t="s">
        <v>30</v>
      </c>
      <c r="S118" s="12" t="s">
        <v>33</v>
      </c>
      <c r="T118" s="12" t="s">
        <v>1052</v>
      </c>
      <c r="U118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300914 RTV</v>
      </c>
      <c r="V118" s="12" t="s">
        <v>786</v>
      </c>
      <c r="W118" s="12" t="s">
        <v>762</v>
      </c>
      <c r="X118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18" s="12" t="s">
        <v>762</v>
      </c>
      <c r="Z118" s="12" t="s">
        <v>762</v>
      </c>
      <c r="AA118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18" s="12" t="s">
        <v>762</v>
      </c>
      <c r="AC118" s="12" t="s">
        <v>762</v>
      </c>
      <c r="AD118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18" s="12" t="s">
        <v>762</v>
      </c>
      <c r="AF118" s="12" t="s">
        <v>762</v>
      </c>
      <c r="AG118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18" s="12" t="s">
        <v>762</v>
      </c>
      <c r="AI118" s="12" t="s">
        <v>762</v>
      </c>
      <c r="AJ118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18" s="12" t="s">
        <v>762</v>
      </c>
      <c r="AL118" s="12"/>
      <c r="AM118" s="12"/>
      <c r="AN118" s="12"/>
      <c r="AO118" s="12" t="s">
        <v>66</v>
      </c>
      <c r="AP118" s="12"/>
      <c r="AQ118" s="12"/>
      <c r="AR118" s="14"/>
      <c r="AS118" s="14"/>
      <c r="AT118" s="13">
        <v>43531</v>
      </c>
      <c r="AU118" s="14"/>
    </row>
    <row r="119" spans="1:47" ht="18.75" x14ac:dyDescent="0.3">
      <c r="A119" s="12"/>
      <c r="B119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3/14/2019</v>
      </c>
      <c r="C119" s="12" t="s">
        <v>64</v>
      </c>
      <c r="D119" s="12"/>
      <c r="E119" s="12"/>
      <c r="F119" s="13"/>
      <c r="G119" s="13"/>
      <c r="H119" s="12"/>
      <c r="I119" s="13"/>
      <c r="J119" s="12"/>
      <c r="K119" s="12"/>
      <c r="L119" s="14"/>
      <c r="M119" s="14"/>
      <c r="N119" s="14"/>
      <c r="O119" s="14"/>
      <c r="P119" s="14"/>
      <c r="Q119" s="12"/>
      <c r="R119" s="12"/>
      <c r="S119" s="12"/>
      <c r="T119" s="12" t="s">
        <v>762</v>
      </c>
      <c r="U119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19" s="12" t="s">
        <v>762</v>
      </c>
      <c r="W119" s="12" t="s">
        <v>762</v>
      </c>
      <c r="X119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19" s="12" t="s">
        <v>762</v>
      </c>
      <c r="Z119" s="12" t="s">
        <v>762</v>
      </c>
      <c r="AA119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19" s="12" t="s">
        <v>762</v>
      </c>
      <c r="AC119" s="12" t="s">
        <v>762</v>
      </c>
      <c r="AD119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19" s="12" t="s">
        <v>762</v>
      </c>
      <c r="AF119" s="12" t="s">
        <v>762</v>
      </c>
      <c r="AG119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19" s="12" t="s">
        <v>762</v>
      </c>
      <c r="AI119" s="12" t="s">
        <v>762</v>
      </c>
      <c r="AJ119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19" s="12" t="s">
        <v>762</v>
      </c>
      <c r="AL119" s="12"/>
      <c r="AM119" s="12"/>
      <c r="AN119" s="12"/>
      <c r="AO119" s="12"/>
      <c r="AP119" s="12"/>
      <c r="AQ119" s="12"/>
      <c r="AR119" s="14"/>
      <c r="AS119" s="14"/>
      <c r="AT119" s="13">
        <v>43538</v>
      </c>
      <c r="AU119" s="14"/>
    </row>
    <row r="120" spans="1:47" ht="18.75" x14ac:dyDescent="0.3">
      <c r="A120" s="12" t="s">
        <v>814</v>
      </c>
      <c r="B120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TK860784</v>
      </c>
      <c r="C120" s="12" t="s">
        <v>815</v>
      </c>
      <c r="D120" s="12" t="s">
        <v>816</v>
      </c>
      <c r="E120" s="12" t="s">
        <v>817</v>
      </c>
      <c r="F120" s="13">
        <v>43535</v>
      </c>
      <c r="G120" s="13">
        <v>43543</v>
      </c>
      <c r="H120" s="12" t="s">
        <v>36</v>
      </c>
      <c r="I120" s="13">
        <v>43555</v>
      </c>
      <c r="J120" s="12" t="s">
        <v>66</v>
      </c>
      <c r="K120" s="12" t="s">
        <v>29</v>
      </c>
      <c r="L120" s="14">
        <v>3</v>
      </c>
      <c r="M120" s="14">
        <v>310.5</v>
      </c>
      <c r="N120" s="14">
        <v>3</v>
      </c>
      <c r="O120" s="14"/>
      <c r="P120" s="14"/>
      <c r="Q120" s="12" t="s">
        <v>30</v>
      </c>
      <c r="R120" s="12" t="s">
        <v>30</v>
      </c>
      <c r="S120" s="12" t="s">
        <v>33</v>
      </c>
      <c r="T120" s="12" t="s">
        <v>762</v>
      </c>
      <c r="U120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20" s="12" t="s">
        <v>762</v>
      </c>
      <c r="W120" s="12" t="s">
        <v>762</v>
      </c>
      <c r="X120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20" s="12" t="s">
        <v>762</v>
      </c>
      <c r="Z120" s="12" t="s">
        <v>762</v>
      </c>
      <c r="AA120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20" s="12" t="s">
        <v>762</v>
      </c>
      <c r="AC120" s="12" t="s">
        <v>762</v>
      </c>
      <c r="AD120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20" s="12" t="s">
        <v>762</v>
      </c>
      <c r="AF120" s="12" t="s">
        <v>762</v>
      </c>
      <c r="AG120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20" s="12" t="s">
        <v>762</v>
      </c>
      <c r="AI120" s="12" t="s">
        <v>762</v>
      </c>
      <c r="AJ120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20" s="12" t="s">
        <v>762</v>
      </c>
      <c r="AL120" s="12"/>
      <c r="AM120" s="12"/>
      <c r="AN120" s="12"/>
      <c r="AO120" s="12" t="s">
        <v>66</v>
      </c>
      <c r="AP120" s="12" t="s">
        <v>66</v>
      </c>
      <c r="AQ120" s="12"/>
      <c r="AR120" s="14"/>
      <c r="AS120" s="14"/>
      <c r="AT120" s="13">
        <v>43538</v>
      </c>
      <c r="AU120" s="14"/>
    </row>
    <row r="121" spans="1:47" ht="18.75" x14ac:dyDescent="0.3">
      <c r="A121" s="12" t="s">
        <v>367</v>
      </c>
      <c r="B121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TK836714</v>
      </c>
      <c r="C121" s="12" t="s">
        <v>368</v>
      </c>
      <c r="D121" s="12" t="s">
        <v>369</v>
      </c>
      <c r="E121" s="12" t="s">
        <v>65</v>
      </c>
      <c r="F121" s="13">
        <v>43541</v>
      </c>
      <c r="G121" s="13">
        <v>43541</v>
      </c>
      <c r="H121" s="12" t="s">
        <v>36</v>
      </c>
      <c r="I121" s="13">
        <v>43585</v>
      </c>
      <c r="J121" s="12" t="s">
        <v>66</v>
      </c>
      <c r="K121" s="12" t="s">
        <v>34</v>
      </c>
      <c r="L121" s="14">
        <v>3</v>
      </c>
      <c r="M121" s="14">
        <v>18</v>
      </c>
      <c r="N121" s="14">
        <v>3</v>
      </c>
      <c r="O121" s="14"/>
      <c r="P121" s="14"/>
      <c r="Q121" s="12" t="s">
        <v>30</v>
      </c>
      <c r="R121" s="12" t="s">
        <v>30</v>
      </c>
      <c r="S121" s="12" t="s">
        <v>33</v>
      </c>
      <c r="T121" s="12" t="s">
        <v>1054</v>
      </c>
      <c r="U121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292683 TRA</v>
      </c>
      <c r="V121" s="12" t="s">
        <v>781</v>
      </c>
      <c r="W121" s="12" t="s">
        <v>762</v>
      </c>
      <c r="X121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21" s="12" t="s">
        <v>762</v>
      </c>
      <c r="Z121" s="12" t="s">
        <v>762</v>
      </c>
      <c r="AA121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21" s="12" t="s">
        <v>762</v>
      </c>
      <c r="AC121" s="12" t="s">
        <v>762</v>
      </c>
      <c r="AD121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21" s="12" t="s">
        <v>762</v>
      </c>
      <c r="AF121" s="12" t="s">
        <v>762</v>
      </c>
      <c r="AG121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21" s="12" t="s">
        <v>762</v>
      </c>
      <c r="AI121" s="12" t="s">
        <v>762</v>
      </c>
      <c r="AJ121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21" s="12" t="s">
        <v>762</v>
      </c>
      <c r="AL121" s="12" t="s">
        <v>38</v>
      </c>
      <c r="AM121" s="12" t="s">
        <v>40</v>
      </c>
      <c r="AN121" s="12"/>
      <c r="AO121" s="12" t="s">
        <v>66</v>
      </c>
      <c r="AP121" s="12" t="s">
        <v>66</v>
      </c>
      <c r="AQ121" s="12"/>
      <c r="AR121" s="14"/>
      <c r="AS121" s="14"/>
      <c r="AT121" s="13">
        <v>43538</v>
      </c>
      <c r="AU121" s="14"/>
    </row>
    <row r="122" spans="1:47" ht="18.75" x14ac:dyDescent="0.3">
      <c r="A122" s="12" t="s">
        <v>370</v>
      </c>
      <c r="B122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TK836715</v>
      </c>
      <c r="C122" s="12" t="s">
        <v>371</v>
      </c>
      <c r="D122" s="12" t="s">
        <v>372</v>
      </c>
      <c r="E122" s="12" t="s">
        <v>65</v>
      </c>
      <c r="F122" s="13">
        <v>43542</v>
      </c>
      <c r="G122" s="13">
        <v>43542</v>
      </c>
      <c r="H122" s="12" t="s">
        <v>36</v>
      </c>
      <c r="I122" s="13">
        <v>43465</v>
      </c>
      <c r="J122" s="12" t="s">
        <v>66</v>
      </c>
      <c r="K122" s="12" t="s">
        <v>29</v>
      </c>
      <c r="L122" s="14">
        <v>3</v>
      </c>
      <c r="M122" s="14">
        <v>18</v>
      </c>
      <c r="N122" s="14">
        <v>3</v>
      </c>
      <c r="O122" s="14"/>
      <c r="P122" s="14"/>
      <c r="Q122" s="12" t="s">
        <v>42</v>
      </c>
      <c r="R122" s="12" t="s">
        <v>42</v>
      </c>
      <c r="S122" s="12" t="s">
        <v>33</v>
      </c>
      <c r="T122" s="12" t="s">
        <v>1055</v>
      </c>
      <c r="U122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271265 Verified</v>
      </c>
      <c r="V122" s="12" t="s">
        <v>785</v>
      </c>
      <c r="W122" s="12" t="s">
        <v>1056</v>
      </c>
      <c r="X122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>292686 TRA</v>
      </c>
      <c r="Y122" s="12" t="s">
        <v>781</v>
      </c>
      <c r="Z122" s="12" t="s">
        <v>762</v>
      </c>
      <c r="AA122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22" s="12" t="s">
        <v>762</v>
      </c>
      <c r="AC122" s="12" t="s">
        <v>762</v>
      </c>
      <c r="AD122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22" s="12" t="s">
        <v>762</v>
      </c>
      <c r="AF122" s="12" t="s">
        <v>762</v>
      </c>
      <c r="AG122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22" s="12" t="s">
        <v>762</v>
      </c>
      <c r="AI122" s="12" t="s">
        <v>762</v>
      </c>
      <c r="AJ122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22" s="12" t="s">
        <v>762</v>
      </c>
      <c r="AL122" s="12" t="s">
        <v>38</v>
      </c>
      <c r="AM122" s="12" t="s">
        <v>40</v>
      </c>
      <c r="AN122" s="12"/>
      <c r="AO122" s="12" t="s">
        <v>66</v>
      </c>
      <c r="AP122" s="12"/>
      <c r="AQ122" s="12" t="s">
        <v>42</v>
      </c>
      <c r="AR122" s="14"/>
      <c r="AS122" s="14"/>
      <c r="AT122" s="13">
        <v>43538</v>
      </c>
      <c r="AU122" s="14"/>
    </row>
    <row r="123" spans="1:47" ht="18.75" x14ac:dyDescent="0.3">
      <c r="A123" s="12" t="s">
        <v>373</v>
      </c>
      <c r="B123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TK836717</v>
      </c>
      <c r="C123" s="12" t="s">
        <v>374</v>
      </c>
      <c r="D123" s="12" t="s">
        <v>375</v>
      </c>
      <c r="E123" s="12" t="s">
        <v>65</v>
      </c>
      <c r="F123" s="13">
        <v>43543</v>
      </c>
      <c r="G123" s="13">
        <v>43543</v>
      </c>
      <c r="H123" s="12" t="s">
        <v>36</v>
      </c>
      <c r="I123" s="13">
        <v>43585</v>
      </c>
      <c r="J123" s="12" t="s">
        <v>66</v>
      </c>
      <c r="K123" s="12" t="s">
        <v>34</v>
      </c>
      <c r="L123" s="14">
        <v>3</v>
      </c>
      <c r="M123" s="14">
        <v>18</v>
      </c>
      <c r="N123" s="14">
        <v>3</v>
      </c>
      <c r="O123" s="14"/>
      <c r="P123" s="14"/>
      <c r="Q123" s="12" t="s">
        <v>30</v>
      </c>
      <c r="R123" s="12" t="s">
        <v>30</v>
      </c>
      <c r="S123" s="12" t="s">
        <v>33</v>
      </c>
      <c r="T123" s="12" t="s">
        <v>1054</v>
      </c>
      <c r="U123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292683 TRA</v>
      </c>
      <c r="V123" s="12" t="s">
        <v>781</v>
      </c>
      <c r="W123" s="12" t="s">
        <v>762</v>
      </c>
      <c r="X123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23" s="12" t="s">
        <v>762</v>
      </c>
      <c r="Z123" s="12" t="s">
        <v>762</v>
      </c>
      <c r="AA123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23" s="12" t="s">
        <v>762</v>
      </c>
      <c r="AC123" s="12" t="s">
        <v>762</v>
      </c>
      <c r="AD123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23" s="12" t="s">
        <v>762</v>
      </c>
      <c r="AF123" s="12" t="s">
        <v>762</v>
      </c>
      <c r="AG123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23" s="12" t="s">
        <v>762</v>
      </c>
      <c r="AI123" s="12" t="s">
        <v>762</v>
      </c>
      <c r="AJ123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23" s="12" t="s">
        <v>762</v>
      </c>
      <c r="AL123" s="12" t="s">
        <v>38</v>
      </c>
      <c r="AM123" s="12" t="s">
        <v>40</v>
      </c>
      <c r="AN123" s="12"/>
      <c r="AO123" s="12" t="s">
        <v>66</v>
      </c>
      <c r="AP123" s="12" t="s">
        <v>66</v>
      </c>
      <c r="AQ123" s="12"/>
      <c r="AR123" s="14"/>
      <c r="AS123" s="14"/>
      <c r="AT123" s="13">
        <v>43538</v>
      </c>
      <c r="AU123" s="14"/>
    </row>
    <row r="124" spans="1:47" ht="18.75" x14ac:dyDescent="0.3">
      <c r="A124" s="12" t="s">
        <v>376</v>
      </c>
      <c r="B124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TK836716</v>
      </c>
      <c r="C124" s="12" t="s">
        <v>377</v>
      </c>
      <c r="D124" s="12" t="s">
        <v>378</v>
      </c>
      <c r="E124" s="12" t="s">
        <v>65</v>
      </c>
      <c r="F124" s="13">
        <v>43543</v>
      </c>
      <c r="G124" s="13">
        <v>43543</v>
      </c>
      <c r="H124" s="12" t="s">
        <v>36</v>
      </c>
      <c r="I124" s="13">
        <v>43585</v>
      </c>
      <c r="J124" s="12" t="s">
        <v>66</v>
      </c>
      <c r="K124" s="12" t="s">
        <v>34</v>
      </c>
      <c r="L124" s="14">
        <v>3</v>
      </c>
      <c r="M124" s="14">
        <v>18</v>
      </c>
      <c r="N124" s="14">
        <v>3</v>
      </c>
      <c r="O124" s="14"/>
      <c r="P124" s="14"/>
      <c r="Q124" s="12" t="s">
        <v>30</v>
      </c>
      <c r="R124" s="12" t="s">
        <v>30</v>
      </c>
      <c r="S124" s="12" t="s">
        <v>33</v>
      </c>
      <c r="T124" s="12" t="s">
        <v>1054</v>
      </c>
      <c r="U124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292683 TRA</v>
      </c>
      <c r="V124" s="12" t="s">
        <v>781</v>
      </c>
      <c r="W124" s="12" t="s">
        <v>762</v>
      </c>
      <c r="X124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24" s="12" t="s">
        <v>762</v>
      </c>
      <c r="Z124" s="12" t="s">
        <v>762</v>
      </c>
      <c r="AA124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24" s="12" t="s">
        <v>762</v>
      </c>
      <c r="AC124" s="12" t="s">
        <v>762</v>
      </c>
      <c r="AD124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24" s="12" t="s">
        <v>762</v>
      </c>
      <c r="AF124" s="12" t="s">
        <v>762</v>
      </c>
      <c r="AG124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24" s="12" t="s">
        <v>762</v>
      </c>
      <c r="AI124" s="12" t="s">
        <v>762</v>
      </c>
      <c r="AJ124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24" s="12" t="s">
        <v>762</v>
      </c>
      <c r="AL124" s="12" t="s">
        <v>38</v>
      </c>
      <c r="AM124" s="12" t="s">
        <v>40</v>
      </c>
      <c r="AN124" s="12"/>
      <c r="AO124" s="12" t="s">
        <v>66</v>
      </c>
      <c r="AP124" s="12" t="s">
        <v>66</v>
      </c>
      <c r="AQ124" s="12"/>
      <c r="AR124" s="14"/>
      <c r="AS124" s="14"/>
      <c r="AT124" s="13">
        <v>43538</v>
      </c>
      <c r="AU124" s="14"/>
    </row>
    <row r="125" spans="1:47" ht="18.75" x14ac:dyDescent="0.3">
      <c r="A125" s="12"/>
      <c r="B125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3/21/2019</v>
      </c>
      <c r="C125" s="12" t="s">
        <v>600</v>
      </c>
      <c r="D125" s="12"/>
      <c r="E125" s="12"/>
      <c r="F125" s="13"/>
      <c r="G125" s="13"/>
      <c r="H125" s="12"/>
      <c r="I125" s="13"/>
      <c r="J125" s="12"/>
      <c r="K125" s="12"/>
      <c r="L125" s="14"/>
      <c r="M125" s="14"/>
      <c r="N125" s="14"/>
      <c r="O125" s="14"/>
      <c r="P125" s="14"/>
      <c r="Q125" s="12"/>
      <c r="R125" s="12"/>
      <c r="S125" s="12"/>
      <c r="T125" s="12" t="s">
        <v>762</v>
      </c>
      <c r="U125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25" s="12" t="s">
        <v>762</v>
      </c>
      <c r="W125" s="12" t="s">
        <v>762</v>
      </c>
      <c r="X125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25" s="12" t="s">
        <v>762</v>
      </c>
      <c r="Z125" s="12" t="s">
        <v>762</v>
      </c>
      <c r="AA125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25" s="12" t="s">
        <v>762</v>
      </c>
      <c r="AC125" s="12" t="s">
        <v>762</v>
      </c>
      <c r="AD125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25" s="12" t="s">
        <v>762</v>
      </c>
      <c r="AF125" s="12" t="s">
        <v>762</v>
      </c>
      <c r="AG125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25" s="12" t="s">
        <v>762</v>
      </c>
      <c r="AI125" s="12" t="s">
        <v>762</v>
      </c>
      <c r="AJ125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25" s="12" t="s">
        <v>762</v>
      </c>
      <c r="AL125" s="12"/>
      <c r="AM125" s="12"/>
      <c r="AN125" s="12"/>
      <c r="AO125" s="12"/>
      <c r="AP125" s="12"/>
      <c r="AQ125" s="12"/>
      <c r="AR125" s="14"/>
      <c r="AS125" s="14"/>
      <c r="AT125" s="13">
        <v>43545</v>
      </c>
      <c r="AU125" s="14"/>
    </row>
    <row r="126" spans="1:47" ht="18.75" x14ac:dyDescent="0.3">
      <c r="A126" s="12" t="s">
        <v>818</v>
      </c>
      <c r="B126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TK862275</v>
      </c>
      <c r="C126" s="12" t="s">
        <v>819</v>
      </c>
      <c r="D126" s="12" t="s">
        <v>820</v>
      </c>
      <c r="E126" s="12" t="s">
        <v>813</v>
      </c>
      <c r="F126" s="13">
        <v>43544</v>
      </c>
      <c r="G126" s="13">
        <v>43545</v>
      </c>
      <c r="H126" s="12" t="s">
        <v>36</v>
      </c>
      <c r="I126" s="13">
        <v>43555</v>
      </c>
      <c r="J126" s="12" t="s">
        <v>66</v>
      </c>
      <c r="K126" s="12" t="s">
        <v>34</v>
      </c>
      <c r="L126" s="14">
        <v>3</v>
      </c>
      <c r="M126" s="14">
        <v>69</v>
      </c>
      <c r="N126" s="14">
        <v>3</v>
      </c>
      <c r="O126" s="14"/>
      <c r="P126" s="14"/>
      <c r="Q126" s="12" t="s">
        <v>30</v>
      </c>
      <c r="R126" s="12" t="s">
        <v>30</v>
      </c>
      <c r="S126" s="12" t="s">
        <v>33</v>
      </c>
      <c r="T126" s="12" t="s">
        <v>762</v>
      </c>
      <c r="U126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26" s="12" t="s">
        <v>762</v>
      </c>
      <c r="W126" s="12" t="s">
        <v>762</v>
      </c>
      <c r="X126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26" s="12" t="s">
        <v>762</v>
      </c>
      <c r="Z126" s="12" t="s">
        <v>762</v>
      </c>
      <c r="AA126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26" s="12" t="s">
        <v>762</v>
      </c>
      <c r="AC126" s="12" t="s">
        <v>762</v>
      </c>
      <c r="AD126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26" s="12" t="s">
        <v>762</v>
      </c>
      <c r="AF126" s="12" t="s">
        <v>762</v>
      </c>
      <c r="AG126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26" s="12" t="s">
        <v>762</v>
      </c>
      <c r="AI126" s="12" t="s">
        <v>762</v>
      </c>
      <c r="AJ126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26" s="12" t="s">
        <v>762</v>
      </c>
      <c r="AL126" s="12"/>
      <c r="AM126" s="12"/>
      <c r="AN126" s="12"/>
      <c r="AO126" s="12" t="s">
        <v>66</v>
      </c>
      <c r="AP126" s="12" t="s">
        <v>66</v>
      </c>
      <c r="AQ126" s="12"/>
      <c r="AR126" s="14"/>
      <c r="AS126" s="14"/>
      <c r="AT126" s="13">
        <v>43545</v>
      </c>
      <c r="AU126" s="14"/>
    </row>
    <row r="127" spans="1:47" ht="18.75" x14ac:dyDescent="0.3">
      <c r="A127" s="12" t="s">
        <v>280</v>
      </c>
      <c r="B127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TK840653</v>
      </c>
      <c r="C127" s="12" t="s">
        <v>281</v>
      </c>
      <c r="D127" s="12" t="s">
        <v>282</v>
      </c>
      <c r="E127" s="12" t="s">
        <v>56</v>
      </c>
      <c r="F127" s="13">
        <v>43544</v>
      </c>
      <c r="G127" s="13">
        <v>43544</v>
      </c>
      <c r="H127" s="12"/>
      <c r="I127" s="13">
        <v>43466</v>
      </c>
      <c r="J127" s="12" t="s">
        <v>66</v>
      </c>
      <c r="K127" s="12" t="s">
        <v>29</v>
      </c>
      <c r="L127" s="14">
        <v>3</v>
      </c>
      <c r="M127" s="14">
        <v>34.5</v>
      </c>
      <c r="N127" s="14">
        <v>2</v>
      </c>
      <c r="O127" s="14"/>
      <c r="P127" s="14"/>
      <c r="Q127" s="12" t="s">
        <v>30</v>
      </c>
      <c r="R127" s="12" t="s">
        <v>30</v>
      </c>
      <c r="S127" s="12" t="s">
        <v>33</v>
      </c>
      <c r="T127" s="12" t="s">
        <v>762</v>
      </c>
      <c r="U127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27" s="12" t="s">
        <v>762</v>
      </c>
      <c r="W127" s="12" t="s">
        <v>762</v>
      </c>
      <c r="X127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27" s="12" t="s">
        <v>762</v>
      </c>
      <c r="Z127" s="12" t="s">
        <v>762</v>
      </c>
      <c r="AA127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27" s="12" t="s">
        <v>762</v>
      </c>
      <c r="AC127" s="12" t="s">
        <v>762</v>
      </c>
      <c r="AD127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27" s="12" t="s">
        <v>762</v>
      </c>
      <c r="AF127" s="12" t="s">
        <v>762</v>
      </c>
      <c r="AG127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27" s="12" t="s">
        <v>762</v>
      </c>
      <c r="AI127" s="12" t="s">
        <v>762</v>
      </c>
      <c r="AJ127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27" s="12" t="s">
        <v>762</v>
      </c>
      <c r="AL127" s="12"/>
      <c r="AM127" s="12"/>
      <c r="AN127" s="12"/>
      <c r="AO127" s="12" t="s">
        <v>66</v>
      </c>
      <c r="AP127" s="12"/>
      <c r="AQ127" s="12"/>
      <c r="AR127" s="14"/>
      <c r="AS127" s="14"/>
      <c r="AT127" s="13">
        <v>43545</v>
      </c>
      <c r="AU127" s="14"/>
    </row>
    <row r="128" spans="1:47" ht="18.75" x14ac:dyDescent="0.3">
      <c r="A128" s="12" t="s">
        <v>692</v>
      </c>
      <c r="B128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TK865755</v>
      </c>
      <c r="C128" s="12" t="s">
        <v>693</v>
      </c>
      <c r="D128" s="12" t="s">
        <v>694</v>
      </c>
      <c r="E128" s="12" t="s">
        <v>695</v>
      </c>
      <c r="F128" s="13">
        <v>43544</v>
      </c>
      <c r="G128" s="13">
        <v>43544</v>
      </c>
      <c r="H128" s="12" t="s">
        <v>36</v>
      </c>
      <c r="I128" s="13">
        <v>43562</v>
      </c>
      <c r="J128" s="12" t="s">
        <v>66</v>
      </c>
      <c r="K128" s="12" t="s">
        <v>34</v>
      </c>
      <c r="L128" s="14">
        <v>3</v>
      </c>
      <c r="M128" s="14">
        <v>34.5</v>
      </c>
      <c r="N128" s="14">
        <v>3</v>
      </c>
      <c r="O128" s="14"/>
      <c r="P128" s="14"/>
      <c r="Q128" s="12" t="s">
        <v>30</v>
      </c>
      <c r="R128" s="12" t="s">
        <v>30</v>
      </c>
      <c r="S128" s="12" t="s">
        <v>33</v>
      </c>
      <c r="T128" s="12" t="s">
        <v>1057</v>
      </c>
      <c r="U128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299034 RTV</v>
      </c>
      <c r="V128" s="12" t="s">
        <v>786</v>
      </c>
      <c r="W128" s="12" t="s">
        <v>762</v>
      </c>
      <c r="X128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28" s="12" t="s">
        <v>762</v>
      </c>
      <c r="Z128" s="12" t="s">
        <v>762</v>
      </c>
      <c r="AA128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28" s="12" t="s">
        <v>762</v>
      </c>
      <c r="AC128" s="12" t="s">
        <v>762</v>
      </c>
      <c r="AD128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28" s="12" t="s">
        <v>762</v>
      </c>
      <c r="AF128" s="12" t="s">
        <v>762</v>
      </c>
      <c r="AG128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28" s="12" t="s">
        <v>762</v>
      </c>
      <c r="AI128" s="12" t="s">
        <v>762</v>
      </c>
      <c r="AJ128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28" s="12" t="s">
        <v>762</v>
      </c>
      <c r="AL128" s="12"/>
      <c r="AM128" s="12"/>
      <c r="AN128" s="12"/>
      <c r="AO128" s="12" t="s">
        <v>66</v>
      </c>
      <c r="AP128" s="12"/>
      <c r="AQ128" s="12"/>
      <c r="AR128" s="14"/>
      <c r="AS128" s="14"/>
      <c r="AT128" s="13">
        <v>43545</v>
      </c>
      <c r="AU128" s="14"/>
    </row>
    <row r="129" spans="1:47" ht="18.75" x14ac:dyDescent="0.3">
      <c r="A129" s="12" t="s">
        <v>700</v>
      </c>
      <c r="B129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TK783024</v>
      </c>
      <c r="C129" s="12" t="s">
        <v>701</v>
      </c>
      <c r="D129" s="12" t="s">
        <v>702</v>
      </c>
      <c r="E129" s="12" t="s">
        <v>703</v>
      </c>
      <c r="F129" s="13">
        <v>43545</v>
      </c>
      <c r="G129" s="13">
        <v>43550</v>
      </c>
      <c r="H129" s="12" t="s">
        <v>36</v>
      </c>
      <c r="I129" s="13">
        <v>43164</v>
      </c>
      <c r="J129" s="12" t="s">
        <v>66</v>
      </c>
      <c r="K129" s="12" t="s">
        <v>29</v>
      </c>
      <c r="L129" s="14">
        <v>3</v>
      </c>
      <c r="M129" s="14">
        <v>207</v>
      </c>
      <c r="N129" s="14">
        <v>3</v>
      </c>
      <c r="O129" s="14"/>
      <c r="P129" s="14"/>
      <c r="Q129" s="12" t="s">
        <v>42</v>
      </c>
      <c r="R129" s="12" t="s">
        <v>42</v>
      </c>
      <c r="S129" s="12" t="s">
        <v>33</v>
      </c>
      <c r="T129" s="12" t="s">
        <v>1058</v>
      </c>
      <c r="U129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197152 Draft</v>
      </c>
      <c r="V129" s="12" t="s">
        <v>787</v>
      </c>
      <c r="W129" s="12" t="s">
        <v>762</v>
      </c>
      <c r="X129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29" s="12" t="s">
        <v>762</v>
      </c>
      <c r="Z129" s="12" t="s">
        <v>762</v>
      </c>
      <c r="AA129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29" s="12" t="s">
        <v>762</v>
      </c>
      <c r="AC129" s="12" t="s">
        <v>762</v>
      </c>
      <c r="AD129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29" s="12" t="s">
        <v>762</v>
      </c>
      <c r="AF129" s="12" t="s">
        <v>762</v>
      </c>
      <c r="AG129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29" s="12" t="s">
        <v>762</v>
      </c>
      <c r="AI129" s="12" t="s">
        <v>762</v>
      </c>
      <c r="AJ129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29" s="12" t="s">
        <v>762</v>
      </c>
      <c r="AL129" s="12"/>
      <c r="AM129" s="12"/>
      <c r="AN129" s="12"/>
      <c r="AO129" s="12" t="s">
        <v>66</v>
      </c>
      <c r="AP129" s="12" t="s">
        <v>66</v>
      </c>
      <c r="AQ129" s="12"/>
      <c r="AR129" s="14"/>
      <c r="AS129" s="14"/>
      <c r="AT129" s="13">
        <v>43545</v>
      </c>
      <c r="AU129" s="14"/>
    </row>
    <row r="130" spans="1:47" ht="18.75" x14ac:dyDescent="0.3">
      <c r="A130" s="12" t="s">
        <v>696</v>
      </c>
      <c r="B130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TK865753</v>
      </c>
      <c r="C130" s="12" t="s">
        <v>697</v>
      </c>
      <c r="D130" s="12" t="s">
        <v>698</v>
      </c>
      <c r="E130" s="12" t="s">
        <v>699</v>
      </c>
      <c r="F130" s="13">
        <v>43545</v>
      </c>
      <c r="G130" s="13">
        <v>43546</v>
      </c>
      <c r="H130" s="12" t="s">
        <v>36</v>
      </c>
      <c r="I130" s="13">
        <v>43526</v>
      </c>
      <c r="J130" s="12" t="s">
        <v>66</v>
      </c>
      <c r="K130" s="12" t="s">
        <v>34</v>
      </c>
      <c r="L130" s="14">
        <v>3</v>
      </c>
      <c r="M130" s="14">
        <v>42</v>
      </c>
      <c r="N130" s="14">
        <v>2</v>
      </c>
      <c r="O130" s="14"/>
      <c r="P130" s="14"/>
      <c r="Q130" s="12" t="s">
        <v>30</v>
      </c>
      <c r="R130" s="12" t="s">
        <v>30</v>
      </c>
      <c r="S130" s="12" t="s">
        <v>33</v>
      </c>
      <c r="T130" s="12" t="s">
        <v>1057</v>
      </c>
      <c r="U130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299034 RTV</v>
      </c>
      <c r="V130" s="12" t="s">
        <v>786</v>
      </c>
      <c r="W130" s="12" t="s">
        <v>762</v>
      </c>
      <c r="X130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30" s="12" t="s">
        <v>762</v>
      </c>
      <c r="Z130" s="12" t="s">
        <v>762</v>
      </c>
      <c r="AA130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30" s="12" t="s">
        <v>762</v>
      </c>
      <c r="AC130" s="12" t="s">
        <v>762</v>
      </c>
      <c r="AD130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30" s="12" t="s">
        <v>762</v>
      </c>
      <c r="AF130" s="12" t="s">
        <v>762</v>
      </c>
      <c r="AG130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30" s="12" t="s">
        <v>762</v>
      </c>
      <c r="AI130" s="12" t="s">
        <v>762</v>
      </c>
      <c r="AJ130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30" s="12" t="s">
        <v>762</v>
      </c>
      <c r="AL130" s="12"/>
      <c r="AM130" s="12"/>
      <c r="AN130" s="12"/>
      <c r="AO130" s="12" t="s">
        <v>66</v>
      </c>
      <c r="AP130" s="12"/>
      <c r="AQ130" s="12"/>
      <c r="AR130" s="14"/>
      <c r="AS130" s="14"/>
      <c r="AT130" s="13">
        <v>43545</v>
      </c>
      <c r="AU130" s="14"/>
    </row>
    <row r="131" spans="1:47" ht="18.75" x14ac:dyDescent="0.3">
      <c r="A131" s="12" t="s">
        <v>704</v>
      </c>
      <c r="B131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TK865756</v>
      </c>
      <c r="C131" s="12" t="s">
        <v>705</v>
      </c>
      <c r="D131" s="12" t="s">
        <v>706</v>
      </c>
      <c r="E131" s="12" t="s">
        <v>695</v>
      </c>
      <c r="F131" s="13">
        <v>43547</v>
      </c>
      <c r="G131" s="13">
        <v>43547</v>
      </c>
      <c r="H131" s="12" t="s">
        <v>36</v>
      </c>
      <c r="I131" s="13">
        <v>43562</v>
      </c>
      <c r="J131" s="12" t="s">
        <v>66</v>
      </c>
      <c r="K131" s="12" t="s">
        <v>34</v>
      </c>
      <c r="L131" s="14">
        <v>3</v>
      </c>
      <c r="M131" s="14">
        <v>34.5</v>
      </c>
      <c r="N131" s="14">
        <v>3</v>
      </c>
      <c r="O131" s="14"/>
      <c r="P131" s="14"/>
      <c r="Q131" s="12" t="s">
        <v>30</v>
      </c>
      <c r="R131" s="12" t="s">
        <v>30</v>
      </c>
      <c r="S131" s="12" t="s">
        <v>33</v>
      </c>
      <c r="T131" s="12" t="s">
        <v>1057</v>
      </c>
      <c r="U131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299034 RTV</v>
      </c>
      <c r="V131" s="12" t="s">
        <v>786</v>
      </c>
      <c r="W131" s="12" t="s">
        <v>762</v>
      </c>
      <c r="X131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31" s="12" t="s">
        <v>762</v>
      </c>
      <c r="Z131" s="12" t="s">
        <v>762</v>
      </c>
      <c r="AA131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31" s="12" t="s">
        <v>762</v>
      </c>
      <c r="AC131" s="12" t="s">
        <v>762</v>
      </c>
      <c r="AD131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31" s="12" t="s">
        <v>762</v>
      </c>
      <c r="AF131" s="12" t="s">
        <v>762</v>
      </c>
      <c r="AG131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31" s="12" t="s">
        <v>762</v>
      </c>
      <c r="AI131" s="12" t="s">
        <v>762</v>
      </c>
      <c r="AJ131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31" s="12" t="s">
        <v>762</v>
      </c>
      <c r="AL131" s="12"/>
      <c r="AM131" s="12"/>
      <c r="AN131" s="12"/>
      <c r="AO131" s="12" t="s">
        <v>66</v>
      </c>
      <c r="AP131" s="12"/>
      <c r="AQ131" s="12"/>
      <c r="AR131" s="14"/>
      <c r="AS131" s="14"/>
      <c r="AT131" s="13">
        <v>43545</v>
      </c>
      <c r="AU131" s="14"/>
    </row>
    <row r="132" spans="1:47" ht="18.75" x14ac:dyDescent="0.3">
      <c r="A132" s="12"/>
      <c r="B132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3/28/2019</v>
      </c>
      <c r="C132" s="12" t="s">
        <v>707</v>
      </c>
      <c r="D132" s="12"/>
      <c r="E132" s="12"/>
      <c r="F132" s="13"/>
      <c r="G132" s="13"/>
      <c r="H132" s="12"/>
      <c r="I132" s="13"/>
      <c r="J132" s="12"/>
      <c r="K132" s="12"/>
      <c r="L132" s="14"/>
      <c r="M132" s="14"/>
      <c r="N132" s="14"/>
      <c r="O132" s="14"/>
      <c r="P132" s="14"/>
      <c r="Q132" s="12"/>
      <c r="R132" s="12"/>
      <c r="S132" s="12"/>
      <c r="T132" s="12" t="s">
        <v>762</v>
      </c>
      <c r="U132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32" s="12" t="s">
        <v>762</v>
      </c>
      <c r="W132" s="12" t="s">
        <v>762</v>
      </c>
      <c r="X132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32" s="12" t="s">
        <v>762</v>
      </c>
      <c r="Z132" s="12" t="s">
        <v>762</v>
      </c>
      <c r="AA132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32" s="12" t="s">
        <v>762</v>
      </c>
      <c r="AC132" s="12" t="s">
        <v>762</v>
      </c>
      <c r="AD132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32" s="12" t="s">
        <v>762</v>
      </c>
      <c r="AF132" s="12" t="s">
        <v>762</v>
      </c>
      <c r="AG132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32" s="12" t="s">
        <v>762</v>
      </c>
      <c r="AI132" s="12" t="s">
        <v>762</v>
      </c>
      <c r="AJ132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32" s="12" t="s">
        <v>762</v>
      </c>
      <c r="AL132" s="12"/>
      <c r="AM132" s="12"/>
      <c r="AN132" s="12"/>
      <c r="AO132" s="12"/>
      <c r="AP132" s="12"/>
      <c r="AQ132" s="12"/>
      <c r="AR132" s="14"/>
      <c r="AS132" s="14"/>
      <c r="AT132" s="13">
        <v>43552</v>
      </c>
      <c r="AU132" s="14"/>
    </row>
    <row r="133" spans="1:47" ht="18.75" x14ac:dyDescent="0.3">
      <c r="A133" s="12" t="s">
        <v>708</v>
      </c>
      <c r="B133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TK828765</v>
      </c>
      <c r="C133" s="12" t="s">
        <v>709</v>
      </c>
      <c r="D133" s="12" t="s">
        <v>710</v>
      </c>
      <c r="E133" s="12" t="s">
        <v>711</v>
      </c>
      <c r="F133" s="13">
        <v>43552</v>
      </c>
      <c r="G133" s="13">
        <v>43552</v>
      </c>
      <c r="H133" s="12" t="s">
        <v>36</v>
      </c>
      <c r="I133" s="13">
        <v>43646</v>
      </c>
      <c r="J133" s="12" t="s">
        <v>66</v>
      </c>
      <c r="K133" s="12" t="s">
        <v>29</v>
      </c>
      <c r="L133" s="14">
        <v>3</v>
      </c>
      <c r="M133" s="14">
        <v>34.5</v>
      </c>
      <c r="N133" s="14">
        <v>3</v>
      </c>
      <c r="O133" s="14"/>
      <c r="P133" s="14"/>
      <c r="Q133" s="12" t="s">
        <v>30</v>
      </c>
      <c r="R133" s="12" t="s">
        <v>30</v>
      </c>
      <c r="S133" s="12" t="s">
        <v>33</v>
      </c>
      <c r="T133" s="12" t="s">
        <v>762</v>
      </c>
      <c r="U133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33" s="12" t="s">
        <v>762</v>
      </c>
      <c r="W133" s="12" t="s">
        <v>762</v>
      </c>
      <c r="X133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33" s="12" t="s">
        <v>762</v>
      </c>
      <c r="Z133" s="12" t="s">
        <v>762</v>
      </c>
      <c r="AA133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33" s="12" t="s">
        <v>762</v>
      </c>
      <c r="AC133" s="12" t="s">
        <v>762</v>
      </c>
      <c r="AD133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33" s="12" t="s">
        <v>762</v>
      </c>
      <c r="AF133" s="12" t="s">
        <v>762</v>
      </c>
      <c r="AG133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33" s="12" t="s">
        <v>762</v>
      </c>
      <c r="AI133" s="12" t="s">
        <v>762</v>
      </c>
      <c r="AJ133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33" s="12" t="s">
        <v>762</v>
      </c>
      <c r="AL133" s="12"/>
      <c r="AM133" s="12"/>
      <c r="AN133" s="12"/>
      <c r="AO133" s="12" t="s">
        <v>66</v>
      </c>
      <c r="AP133" s="12"/>
      <c r="AQ133" s="12"/>
      <c r="AR133" s="14"/>
      <c r="AS133" s="14"/>
      <c r="AT133" s="13">
        <v>43552</v>
      </c>
      <c r="AU133" s="14"/>
    </row>
    <row r="134" spans="1:47" ht="18.75" x14ac:dyDescent="0.3">
      <c r="A134" s="12" t="s">
        <v>307</v>
      </c>
      <c r="B134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TK823989</v>
      </c>
      <c r="C134" s="12" t="s">
        <v>308</v>
      </c>
      <c r="D134" s="12" t="s">
        <v>309</v>
      </c>
      <c r="E134" s="12" t="s">
        <v>310</v>
      </c>
      <c r="F134" s="13">
        <v>43553</v>
      </c>
      <c r="G134" s="13">
        <v>43553</v>
      </c>
      <c r="H134" s="12" t="s">
        <v>36</v>
      </c>
      <c r="I134" s="13">
        <v>43598</v>
      </c>
      <c r="J134" s="12" t="s">
        <v>66</v>
      </c>
      <c r="K134" s="12" t="s">
        <v>34</v>
      </c>
      <c r="L134" s="14">
        <v>3</v>
      </c>
      <c r="M134" s="14">
        <v>18</v>
      </c>
      <c r="N134" s="14">
        <v>3</v>
      </c>
      <c r="O134" s="14"/>
      <c r="P134" s="14"/>
      <c r="Q134" s="12" t="s">
        <v>30</v>
      </c>
      <c r="R134" s="12" t="s">
        <v>30</v>
      </c>
      <c r="S134" s="12" t="s">
        <v>33</v>
      </c>
      <c r="T134" s="12" t="s">
        <v>1059</v>
      </c>
      <c r="U134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296753 Draft</v>
      </c>
      <c r="V134" s="12" t="s">
        <v>788</v>
      </c>
      <c r="W134" s="12" t="s">
        <v>762</v>
      </c>
      <c r="X134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34" s="12" t="s">
        <v>762</v>
      </c>
      <c r="Z134" s="12" t="s">
        <v>762</v>
      </c>
      <c r="AA134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34" s="12" t="s">
        <v>762</v>
      </c>
      <c r="AC134" s="12" t="s">
        <v>762</v>
      </c>
      <c r="AD134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34" s="12" t="s">
        <v>762</v>
      </c>
      <c r="AF134" s="12" t="s">
        <v>762</v>
      </c>
      <c r="AG134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34" s="12" t="s">
        <v>762</v>
      </c>
      <c r="AI134" s="12" t="s">
        <v>762</v>
      </c>
      <c r="AJ134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34" s="12" t="s">
        <v>762</v>
      </c>
      <c r="AL134" s="12"/>
      <c r="AM134" s="12"/>
      <c r="AN134" s="12"/>
      <c r="AO134" s="12" t="s">
        <v>66</v>
      </c>
      <c r="AP134" s="12" t="s">
        <v>66</v>
      </c>
      <c r="AQ134" s="12"/>
      <c r="AR134" s="14"/>
      <c r="AS134" s="14"/>
      <c r="AT134" s="13">
        <v>43552</v>
      </c>
      <c r="AU134" s="14"/>
    </row>
    <row r="135" spans="1:47" ht="18.75" x14ac:dyDescent="0.3">
      <c r="A135" s="12" t="s">
        <v>712</v>
      </c>
      <c r="B135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TK835028</v>
      </c>
      <c r="C135" s="12" t="s">
        <v>713</v>
      </c>
      <c r="D135" s="12" t="s">
        <v>714</v>
      </c>
      <c r="E135" s="12" t="s">
        <v>715</v>
      </c>
      <c r="F135" s="13">
        <v>43553</v>
      </c>
      <c r="G135" s="13">
        <v>43553</v>
      </c>
      <c r="H135" s="12" t="s">
        <v>36</v>
      </c>
      <c r="I135" s="13">
        <v>43943</v>
      </c>
      <c r="J135" s="12" t="s">
        <v>66</v>
      </c>
      <c r="K135" s="12" t="s">
        <v>29</v>
      </c>
      <c r="L135" s="14">
        <v>3</v>
      </c>
      <c r="M135" s="14">
        <v>34.5</v>
      </c>
      <c r="N135" s="14">
        <v>3</v>
      </c>
      <c r="O135" s="14"/>
      <c r="P135" s="14"/>
      <c r="Q135" s="12" t="s">
        <v>30</v>
      </c>
      <c r="R135" s="12" t="s">
        <v>30</v>
      </c>
      <c r="S135" s="12" t="s">
        <v>33</v>
      </c>
      <c r="T135" s="12" t="s">
        <v>1060</v>
      </c>
      <c r="U135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265464 Draft</v>
      </c>
      <c r="V135" s="12" t="s">
        <v>788</v>
      </c>
      <c r="W135" s="12" t="s">
        <v>762</v>
      </c>
      <c r="X135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35" s="12" t="s">
        <v>762</v>
      </c>
      <c r="Z135" s="12" t="s">
        <v>762</v>
      </c>
      <c r="AA135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35" s="12" t="s">
        <v>762</v>
      </c>
      <c r="AC135" s="12" t="s">
        <v>762</v>
      </c>
      <c r="AD135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35" s="12" t="s">
        <v>762</v>
      </c>
      <c r="AF135" s="12" t="s">
        <v>762</v>
      </c>
      <c r="AG135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35" s="12" t="s">
        <v>762</v>
      </c>
      <c r="AI135" s="12" t="s">
        <v>762</v>
      </c>
      <c r="AJ135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35" s="12" t="s">
        <v>762</v>
      </c>
      <c r="AL135" s="12"/>
      <c r="AM135" s="12"/>
      <c r="AN135" s="12"/>
      <c r="AO135" s="12" t="s">
        <v>66</v>
      </c>
      <c r="AP135" s="12" t="s">
        <v>66</v>
      </c>
      <c r="AQ135" s="12"/>
      <c r="AR135" s="14"/>
      <c r="AS135" s="14"/>
      <c r="AT135" s="13">
        <v>43552</v>
      </c>
      <c r="AU135" s="14"/>
    </row>
    <row r="136" spans="1:47" ht="18.75" x14ac:dyDescent="0.3">
      <c r="A136" s="12" t="s">
        <v>243</v>
      </c>
      <c r="B136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TK827395</v>
      </c>
      <c r="C136" s="12" t="s">
        <v>244</v>
      </c>
      <c r="D136" s="12" t="s">
        <v>245</v>
      </c>
      <c r="E136" s="12" t="s">
        <v>53</v>
      </c>
      <c r="F136" s="13">
        <v>43554</v>
      </c>
      <c r="G136" s="13">
        <v>43554</v>
      </c>
      <c r="H136" s="12" t="s">
        <v>36</v>
      </c>
      <c r="I136" s="13">
        <v>43585</v>
      </c>
      <c r="J136" s="12" t="s">
        <v>66</v>
      </c>
      <c r="K136" s="12" t="s">
        <v>34</v>
      </c>
      <c r="L136" s="14">
        <v>3</v>
      </c>
      <c r="M136" s="14">
        <v>24</v>
      </c>
      <c r="N136" s="14">
        <v>3</v>
      </c>
      <c r="O136" s="14"/>
      <c r="P136" s="14"/>
      <c r="Q136" s="12" t="s">
        <v>30</v>
      </c>
      <c r="R136" s="12" t="s">
        <v>30</v>
      </c>
      <c r="S136" s="12" t="s">
        <v>33</v>
      </c>
      <c r="T136" s="12" t="s">
        <v>1061</v>
      </c>
      <c r="U136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261193 TRA</v>
      </c>
      <c r="V136" s="12" t="s">
        <v>781</v>
      </c>
      <c r="W136" s="12" t="s">
        <v>762</v>
      </c>
      <c r="X136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36" s="12" t="s">
        <v>762</v>
      </c>
      <c r="Z136" s="12" t="s">
        <v>762</v>
      </c>
      <c r="AA136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36" s="12" t="s">
        <v>762</v>
      </c>
      <c r="AC136" s="12" t="s">
        <v>762</v>
      </c>
      <c r="AD136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36" s="12" t="s">
        <v>762</v>
      </c>
      <c r="AF136" s="12" t="s">
        <v>762</v>
      </c>
      <c r="AG136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36" s="12" t="s">
        <v>762</v>
      </c>
      <c r="AI136" s="12" t="s">
        <v>762</v>
      </c>
      <c r="AJ136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36" s="12" t="s">
        <v>762</v>
      </c>
      <c r="AL136" s="12"/>
      <c r="AM136" s="12"/>
      <c r="AN136" s="12"/>
      <c r="AO136" s="12" t="s">
        <v>66</v>
      </c>
      <c r="AP136" s="12" t="s">
        <v>66</v>
      </c>
      <c r="AQ136" s="12"/>
      <c r="AR136" s="14"/>
      <c r="AS136" s="14"/>
      <c r="AT136" s="13">
        <v>43552</v>
      </c>
      <c r="AU136" s="14"/>
    </row>
    <row r="137" spans="1:47" ht="18.75" x14ac:dyDescent="0.3">
      <c r="A137" s="12" t="s">
        <v>224</v>
      </c>
      <c r="B137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TK830278</v>
      </c>
      <c r="C137" s="12" t="s">
        <v>225</v>
      </c>
      <c r="D137" s="12" t="s">
        <v>226</v>
      </c>
      <c r="E137" s="12" t="s">
        <v>54</v>
      </c>
      <c r="F137" s="13">
        <v>43554</v>
      </c>
      <c r="G137" s="13">
        <v>43554</v>
      </c>
      <c r="H137" s="12" t="s">
        <v>36</v>
      </c>
      <c r="I137" s="13">
        <v>43585</v>
      </c>
      <c r="J137" s="12" t="s">
        <v>66</v>
      </c>
      <c r="K137" s="12" t="s">
        <v>34</v>
      </c>
      <c r="L137" s="14">
        <v>3</v>
      </c>
      <c r="M137" s="14">
        <v>18</v>
      </c>
      <c r="N137" s="14">
        <v>3</v>
      </c>
      <c r="O137" s="14"/>
      <c r="P137" s="14"/>
      <c r="Q137" s="12" t="s">
        <v>30</v>
      </c>
      <c r="R137" s="12" t="s">
        <v>30</v>
      </c>
      <c r="S137" s="12" t="s">
        <v>33</v>
      </c>
      <c r="T137" s="12" t="s">
        <v>1062</v>
      </c>
      <c r="U137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261141 Verified</v>
      </c>
      <c r="V137" s="12" t="s">
        <v>784</v>
      </c>
      <c r="W137" s="12" t="s">
        <v>762</v>
      </c>
      <c r="X137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37" s="12" t="s">
        <v>762</v>
      </c>
      <c r="Z137" s="12" t="s">
        <v>762</v>
      </c>
      <c r="AA137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37" s="12" t="s">
        <v>762</v>
      </c>
      <c r="AC137" s="12" t="s">
        <v>762</v>
      </c>
      <c r="AD137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37" s="12" t="s">
        <v>762</v>
      </c>
      <c r="AF137" s="12" t="s">
        <v>762</v>
      </c>
      <c r="AG137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37" s="12" t="s">
        <v>762</v>
      </c>
      <c r="AI137" s="12" t="s">
        <v>762</v>
      </c>
      <c r="AJ137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37" s="12" t="s">
        <v>762</v>
      </c>
      <c r="AL137" s="12"/>
      <c r="AM137" s="12"/>
      <c r="AN137" s="12"/>
      <c r="AO137" s="12" t="s">
        <v>66</v>
      </c>
      <c r="AP137" s="12" t="s">
        <v>66</v>
      </c>
      <c r="AQ137" s="12"/>
      <c r="AR137" s="14"/>
      <c r="AS137" s="14"/>
      <c r="AT137" s="13">
        <v>43552</v>
      </c>
      <c r="AU137" s="14"/>
    </row>
    <row r="138" spans="1:47" ht="18.75" x14ac:dyDescent="0.3">
      <c r="A138" s="12" t="s">
        <v>227</v>
      </c>
      <c r="B138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TK830279</v>
      </c>
      <c r="C138" s="12" t="s">
        <v>228</v>
      </c>
      <c r="D138" s="12" t="s">
        <v>229</v>
      </c>
      <c r="E138" s="12" t="s">
        <v>54</v>
      </c>
      <c r="F138" s="13">
        <v>43555</v>
      </c>
      <c r="G138" s="13">
        <v>43556</v>
      </c>
      <c r="H138" s="12" t="s">
        <v>36</v>
      </c>
      <c r="I138" s="13">
        <v>43586</v>
      </c>
      <c r="J138" s="12" t="s">
        <v>66</v>
      </c>
      <c r="K138" s="12" t="s">
        <v>29</v>
      </c>
      <c r="L138" s="14">
        <v>3</v>
      </c>
      <c r="M138" s="14">
        <v>54</v>
      </c>
      <c r="N138" s="14">
        <v>3</v>
      </c>
      <c r="O138" s="14"/>
      <c r="P138" s="14"/>
      <c r="Q138" s="12" t="s">
        <v>30</v>
      </c>
      <c r="R138" s="12" t="s">
        <v>30</v>
      </c>
      <c r="S138" s="12" t="s">
        <v>33</v>
      </c>
      <c r="T138" s="12" t="s">
        <v>1063</v>
      </c>
      <c r="U138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261153 TRA</v>
      </c>
      <c r="V138" s="12" t="s">
        <v>781</v>
      </c>
      <c r="W138" s="12" t="s">
        <v>1064</v>
      </c>
      <c r="X138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>298655 Verified</v>
      </c>
      <c r="Y138" s="12" t="s">
        <v>784</v>
      </c>
      <c r="Z138" s="12" t="s">
        <v>762</v>
      </c>
      <c r="AA138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38" s="12" t="s">
        <v>762</v>
      </c>
      <c r="AC138" s="12" t="s">
        <v>762</v>
      </c>
      <c r="AD138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38" s="12" t="s">
        <v>762</v>
      </c>
      <c r="AF138" s="12" t="s">
        <v>762</v>
      </c>
      <c r="AG138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38" s="12" t="s">
        <v>762</v>
      </c>
      <c r="AI138" s="12" t="s">
        <v>762</v>
      </c>
      <c r="AJ138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38" s="12" t="s">
        <v>762</v>
      </c>
      <c r="AL138" s="12" t="s">
        <v>717</v>
      </c>
      <c r="AM138" s="12" t="s">
        <v>691</v>
      </c>
      <c r="AN138" s="12"/>
      <c r="AO138" s="12" t="s">
        <v>66</v>
      </c>
      <c r="AP138" s="12" t="s">
        <v>66</v>
      </c>
      <c r="AQ138" s="12"/>
      <c r="AR138" s="14"/>
      <c r="AS138" s="14"/>
      <c r="AT138" s="13">
        <v>43552</v>
      </c>
      <c r="AU138" s="14"/>
    </row>
    <row r="139" spans="1:47" ht="18.75" x14ac:dyDescent="0.3">
      <c r="A139" s="12" t="s">
        <v>246</v>
      </c>
      <c r="B139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TK827396</v>
      </c>
      <c r="C139" s="12" t="s">
        <v>247</v>
      </c>
      <c r="D139" s="12" t="s">
        <v>248</v>
      </c>
      <c r="E139" s="12" t="s">
        <v>53</v>
      </c>
      <c r="F139" s="13">
        <v>43555</v>
      </c>
      <c r="G139" s="13">
        <v>43556</v>
      </c>
      <c r="H139" s="12" t="s">
        <v>36</v>
      </c>
      <c r="I139" s="13">
        <v>43585</v>
      </c>
      <c r="J139" s="12" t="s">
        <v>66</v>
      </c>
      <c r="K139" s="12" t="s">
        <v>29</v>
      </c>
      <c r="L139" s="14">
        <v>3</v>
      </c>
      <c r="M139" s="14">
        <v>60</v>
      </c>
      <c r="N139" s="14">
        <v>3</v>
      </c>
      <c r="O139" s="14"/>
      <c r="P139" s="14"/>
      <c r="Q139" s="12" t="s">
        <v>30</v>
      </c>
      <c r="R139" s="12" t="s">
        <v>30</v>
      </c>
      <c r="S139" s="12" t="s">
        <v>33</v>
      </c>
      <c r="T139" s="12" t="s">
        <v>1065</v>
      </c>
      <c r="U139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267335 TRA</v>
      </c>
      <c r="V139" s="12" t="s">
        <v>781</v>
      </c>
      <c r="W139" s="12" t="s">
        <v>762</v>
      </c>
      <c r="X139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39" s="12" t="s">
        <v>762</v>
      </c>
      <c r="Z139" s="12" t="s">
        <v>762</v>
      </c>
      <c r="AA139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39" s="12" t="s">
        <v>762</v>
      </c>
      <c r="AC139" s="12" t="s">
        <v>762</v>
      </c>
      <c r="AD139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39" s="12" t="s">
        <v>762</v>
      </c>
      <c r="AF139" s="12" t="s">
        <v>762</v>
      </c>
      <c r="AG139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39" s="12" t="s">
        <v>762</v>
      </c>
      <c r="AI139" s="12" t="s">
        <v>762</v>
      </c>
      <c r="AJ139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39" s="12" t="s">
        <v>762</v>
      </c>
      <c r="AL139" s="12" t="s">
        <v>716</v>
      </c>
      <c r="AM139" s="12" t="s">
        <v>691</v>
      </c>
      <c r="AN139" s="12"/>
      <c r="AO139" s="12" t="s">
        <v>66</v>
      </c>
      <c r="AP139" s="12"/>
      <c r="AQ139" s="12"/>
      <c r="AR139" s="14"/>
      <c r="AS139" s="14"/>
      <c r="AT139" s="13">
        <v>43552</v>
      </c>
      <c r="AU139" s="14"/>
    </row>
    <row r="140" spans="1:47" ht="18.75" x14ac:dyDescent="0.3">
      <c r="A140" s="12" t="s">
        <v>234</v>
      </c>
      <c r="B140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TK830281</v>
      </c>
      <c r="C140" s="12" t="s">
        <v>235</v>
      </c>
      <c r="D140" s="12" t="s">
        <v>236</v>
      </c>
      <c r="E140" s="12" t="s">
        <v>54</v>
      </c>
      <c r="F140" s="13">
        <v>43557</v>
      </c>
      <c r="G140" s="13">
        <v>43557</v>
      </c>
      <c r="H140" s="12" t="s">
        <v>36</v>
      </c>
      <c r="I140" s="13">
        <v>43585</v>
      </c>
      <c r="J140" s="12" t="s">
        <v>66</v>
      </c>
      <c r="K140" s="12" t="s">
        <v>34</v>
      </c>
      <c r="L140" s="14">
        <v>3</v>
      </c>
      <c r="M140" s="14">
        <v>18</v>
      </c>
      <c r="N140" s="14">
        <v>3</v>
      </c>
      <c r="O140" s="14"/>
      <c r="P140" s="14"/>
      <c r="Q140" s="12" t="s">
        <v>30</v>
      </c>
      <c r="R140" s="12" t="s">
        <v>30</v>
      </c>
      <c r="S140" s="12" t="s">
        <v>33</v>
      </c>
      <c r="T140" s="12" t="s">
        <v>1062</v>
      </c>
      <c r="U140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261141 Verified</v>
      </c>
      <c r="V140" s="12" t="s">
        <v>784</v>
      </c>
      <c r="W140" s="12" t="s">
        <v>762</v>
      </c>
      <c r="X140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40" s="12" t="s">
        <v>762</v>
      </c>
      <c r="Z140" s="12" t="s">
        <v>762</v>
      </c>
      <c r="AA140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40" s="12" t="s">
        <v>762</v>
      </c>
      <c r="AC140" s="12" t="s">
        <v>762</v>
      </c>
      <c r="AD140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40" s="12" t="s">
        <v>762</v>
      </c>
      <c r="AF140" s="12" t="s">
        <v>762</v>
      </c>
      <c r="AG140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40" s="12" t="s">
        <v>762</v>
      </c>
      <c r="AI140" s="12" t="s">
        <v>762</v>
      </c>
      <c r="AJ140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40" s="12" t="s">
        <v>762</v>
      </c>
      <c r="AL140" s="12"/>
      <c r="AM140" s="12"/>
      <c r="AN140" s="12"/>
      <c r="AO140" s="12" t="s">
        <v>66</v>
      </c>
      <c r="AP140" s="12" t="s">
        <v>66</v>
      </c>
      <c r="AQ140" s="12"/>
      <c r="AR140" s="14"/>
      <c r="AS140" s="14"/>
      <c r="AT140" s="13">
        <v>43552</v>
      </c>
      <c r="AU140" s="14"/>
    </row>
    <row r="141" spans="1:47" ht="18.75" x14ac:dyDescent="0.3">
      <c r="A141" s="12" t="s">
        <v>316</v>
      </c>
      <c r="B141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TK823985</v>
      </c>
      <c r="C141" s="12" t="s">
        <v>317</v>
      </c>
      <c r="D141" s="12" t="s">
        <v>318</v>
      </c>
      <c r="E141" s="12" t="s">
        <v>310</v>
      </c>
      <c r="F141" s="13">
        <v>43557</v>
      </c>
      <c r="G141" s="13">
        <v>43557</v>
      </c>
      <c r="H141" s="12" t="s">
        <v>36</v>
      </c>
      <c r="I141" s="13">
        <v>43598</v>
      </c>
      <c r="J141" s="12" t="s">
        <v>66</v>
      </c>
      <c r="K141" s="12" t="s">
        <v>29</v>
      </c>
      <c r="L141" s="14">
        <v>3</v>
      </c>
      <c r="M141" s="14">
        <v>12</v>
      </c>
      <c r="N141" s="14">
        <v>1</v>
      </c>
      <c r="O141" s="14"/>
      <c r="P141" s="14"/>
      <c r="Q141" s="12" t="s">
        <v>30</v>
      </c>
      <c r="R141" s="12" t="s">
        <v>30</v>
      </c>
      <c r="S141" s="12" t="s">
        <v>33</v>
      </c>
      <c r="T141" s="12" t="s">
        <v>1066</v>
      </c>
      <c r="U141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295413 Draft</v>
      </c>
      <c r="V141" s="12" t="s">
        <v>787</v>
      </c>
      <c r="W141" s="12" t="s">
        <v>1059</v>
      </c>
      <c r="X141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>296753 Draft</v>
      </c>
      <c r="Y141" s="12" t="s">
        <v>788</v>
      </c>
      <c r="Z141" s="12" t="s">
        <v>762</v>
      </c>
      <c r="AA141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41" s="12" t="s">
        <v>762</v>
      </c>
      <c r="AC141" s="12" t="s">
        <v>762</v>
      </c>
      <c r="AD141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41" s="12" t="s">
        <v>762</v>
      </c>
      <c r="AF141" s="12" t="s">
        <v>762</v>
      </c>
      <c r="AG141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41" s="12" t="s">
        <v>762</v>
      </c>
      <c r="AI141" s="12" t="s">
        <v>762</v>
      </c>
      <c r="AJ141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41" s="12" t="s">
        <v>762</v>
      </c>
      <c r="AL141" s="12"/>
      <c r="AM141" s="12"/>
      <c r="AN141" s="12"/>
      <c r="AO141" s="12" t="s">
        <v>66</v>
      </c>
      <c r="AP141" s="12" t="s">
        <v>66</v>
      </c>
      <c r="AQ141" s="12"/>
      <c r="AR141" s="14"/>
      <c r="AS141" s="14"/>
      <c r="AT141" s="13">
        <v>43552</v>
      </c>
      <c r="AU141" s="14"/>
    </row>
    <row r="142" spans="1:47" ht="18.75" x14ac:dyDescent="0.3">
      <c r="A142" s="12" t="s">
        <v>252</v>
      </c>
      <c r="B142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TK827399</v>
      </c>
      <c r="C142" s="12" t="s">
        <v>253</v>
      </c>
      <c r="D142" s="12" t="s">
        <v>254</v>
      </c>
      <c r="E142" s="12" t="s">
        <v>53</v>
      </c>
      <c r="F142" s="13">
        <v>43557</v>
      </c>
      <c r="G142" s="13">
        <v>43557</v>
      </c>
      <c r="H142" s="12" t="s">
        <v>36</v>
      </c>
      <c r="I142" s="13">
        <v>43585</v>
      </c>
      <c r="J142" s="12" t="s">
        <v>66</v>
      </c>
      <c r="K142" s="12" t="s">
        <v>34</v>
      </c>
      <c r="L142" s="14">
        <v>3</v>
      </c>
      <c r="M142" s="14">
        <v>3</v>
      </c>
      <c r="N142" s="14">
        <v>3</v>
      </c>
      <c r="O142" s="14"/>
      <c r="P142" s="14"/>
      <c r="Q142" s="12" t="s">
        <v>30</v>
      </c>
      <c r="R142" s="12" t="s">
        <v>30</v>
      </c>
      <c r="S142" s="12" t="s">
        <v>33</v>
      </c>
      <c r="T142" s="12" t="s">
        <v>1061</v>
      </c>
      <c r="U142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261193 TRA</v>
      </c>
      <c r="V142" s="12" t="s">
        <v>781</v>
      </c>
      <c r="W142" s="12" t="s">
        <v>762</v>
      </c>
      <c r="X142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42" s="12" t="s">
        <v>762</v>
      </c>
      <c r="Z142" s="12" t="s">
        <v>762</v>
      </c>
      <c r="AA142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42" s="12" t="s">
        <v>762</v>
      </c>
      <c r="AC142" s="12" t="s">
        <v>762</v>
      </c>
      <c r="AD142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42" s="12" t="s">
        <v>762</v>
      </c>
      <c r="AF142" s="12" t="s">
        <v>762</v>
      </c>
      <c r="AG142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42" s="12" t="s">
        <v>762</v>
      </c>
      <c r="AI142" s="12" t="s">
        <v>762</v>
      </c>
      <c r="AJ142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42" s="12" t="s">
        <v>762</v>
      </c>
      <c r="AL142" s="12"/>
      <c r="AM142" s="12"/>
      <c r="AN142" s="12"/>
      <c r="AO142" s="12" t="s">
        <v>66</v>
      </c>
      <c r="AP142" s="12" t="s">
        <v>66</v>
      </c>
      <c r="AQ142" s="12"/>
      <c r="AR142" s="14"/>
      <c r="AS142" s="14"/>
      <c r="AT142" s="13">
        <v>43552</v>
      </c>
      <c r="AU142" s="14"/>
    </row>
    <row r="143" spans="1:47" ht="18.75" x14ac:dyDescent="0.3">
      <c r="A143" s="12" t="s">
        <v>240</v>
      </c>
      <c r="B143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TK830282</v>
      </c>
      <c r="C143" s="12" t="s">
        <v>241</v>
      </c>
      <c r="D143" s="12" t="s">
        <v>242</v>
      </c>
      <c r="E143" s="12" t="s">
        <v>54</v>
      </c>
      <c r="F143" s="13">
        <v>43558</v>
      </c>
      <c r="G143" s="13">
        <v>43558</v>
      </c>
      <c r="H143" s="12" t="s">
        <v>36</v>
      </c>
      <c r="I143" s="13">
        <v>43585</v>
      </c>
      <c r="J143" s="12" t="s">
        <v>66</v>
      </c>
      <c r="K143" s="12" t="s">
        <v>34</v>
      </c>
      <c r="L143" s="14">
        <v>3</v>
      </c>
      <c r="M143" s="14">
        <v>18</v>
      </c>
      <c r="N143" s="14">
        <v>3</v>
      </c>
      <c r="O143" s="14"/>
      <c r="P143" s="14"/>
      <c r="Q143" s="12" t="s">
        <v>30</v>
      </c>
      <c r="R143" s="12" t="s">
        <v>30</v>
      </c>
      <c r="S143" s="12" t="s">
        <v>33</v>
      </c>
      <c r="T143" s="12" t="s">
        <v>1062</v>
      </c>
      <c r="U143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261141 Verified</v>
      </c>
      <c r="V143" s="12" t="s">
        <v>784</v>
      </c>
      <c r="W143" s="12" t="s">
        <v>762</v>
      </c>
      <c r="X143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43" s="12" t="s">
        <v>762</v>
      </c>
      <c r="Z143" s="12" t="s">
        <v>762</v>
      </c>
      <c r="AA143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43" s="12" t="s">
        <v>762</v>
      </c>
      <c r="AC143" s="12" t="s">
        <v>762</v>
      </c>
      <c r="AD143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43" s="12" t="s">
        <v>762</v>
      </c>
      <c r="AF143" s="12" t="s">
        <v>762</v>
      </c>
      <c r="AG143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43" s="12" t="s">
        <v>762</v>
      </c>
      <c r="AI143" s="12" t="s">
        <v>762</v>
      </c>
      <c r="AJ143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43" s="12" t="s">
        <v>762</v>
      </c>
      <c r="AL143" s="12"/>
      <c r="AM143" s="12"/>
      <c r="AN143" s="12"/>
      <c r="AO143" s="12" t="s">
        <v>66</v>
      </c>
      <c r="AP143" s="12" t="s">
        <v>66</v>
      </c>
      <c r="AQ143" s="12"/>
      <c r="AR143" s="14"/>
      <c r="AS143" s="14"/>
      <c r="AT143" s="13">
        <v>43552</v>
      </c>
      <c r="AU143" s="14"/>
    </row>
    <row r="144" spans="1:47" ht="18.75" x14ac:dyDescent="0.3">
      <c r="A144" s="12"/>
      <c r="B144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4/4/2019</v>
      </c>
      <c r="C144" s="12" t="s">
        <v>619</v>
      </c>
      <c r="D144" s="12"/>
      <c r="E144" s="12"/>
      <c r="F144" s="13"/>
      <c r="G144" s="13"/>
      <c r="H144" s="12"/>
      <c r="I144" s="13"/>
      <c r="J144" s="12"/>
      <c r="K144" s="12"/>
      <c r="L144" s="14"/>
      <c r="M144" s="14"/>
      <c r="N144" s="14"/>
      <c r="O144" s="14"/>
      <c r="P144" s="14"/>
      <c r="Q144" s="12"/>
      <c r="R144" s="12"/>
      <c r="S144" s="12"/>
      <c r="T144" s="12" t="s">
        <v>762</v>
      </c>
      <c r="U144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44" s="12" t="s">
        <v>762</v>
      </c>
      <c r="W144" s="12" t="s">
        <v>762</v>
      </c>
      <c r="X144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44" s="12" t="s">
        <v>762</v>
      </c>
      <c r="Z144" s="12" t="s">
        <v>762</v>
      </c>
      <c r="AA144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44" s="12" t="s">
        <v>762</v>
      </c>
      <c r="AC144" s="12" t="s">
        <v>762</v>
      </c>
      <c r="AD144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44" s="12" t="s">
        <v>762</v>
      </c>
      <c r="AF144" s="12" t="s">
        <v>762</v>
      </c>
      <c r="AG144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44" s="12" t="s">
        <v>762</v>
      </c>
      <c r="AI144" s="12" t="s">
        <v>762</v>
      </c>
      <c r="AJ144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44" s="12" t="s">
        <v>762</v>
      </c>
      <c r="AL144" s="12"/>
      <c r="AM144" s="12"/>
      <c r="AN144" s="12"/>
      <c r="AO144" s="12"/>
      <c r="AP144" s="12"/>
      <c r="AQ144" s="12"/>
      <c r="AR144" s="14"/>
      <c r="AS144" s="14"/>
      <c r="AT144" s="13">
        <v>43559</v>
      </c>
      <c r="AU144" s="14"/>
    </row>
    <row r="145" spans="1:47" ht="18.75" x14ac:dyDescent="0.3">
      <c r="A145" s="12" t="s">
        <v>327</v>
      </c>
      <c r="B145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TK823993</v>
      </c>
      <c r="C145" s="12" t="s">
        <v>328</v>
      </c>
      <c r="D145" s="12" t="s">
        <v>329</v>
      </c>
      <c r="E145" s="12" t="s">
        <v>310</v>
      </c>
      <c r="F145" s="13">
        <v>43559</v>
      </c>
      <c r="G145" s="13">
        <v>43559</v>
      </c>
      <c r="H145" s="12" t="s">
        <v>36</v>
      </c>
      <c r="I145" s="13">
        <v>43598</v>
      </c>
      <c r="J145" s="12" t="s">
        <v>66</v>
      </c>
      <c r="K145" s="12" t="s">
        <v>34</v>
      </c>
      <c r="L145" s="14">
        <v>3</v>
      </c>
      <c r="M145" s="14">
        <v>15</v>
      </c>
      <c r="N145" s="14">
        <v>3</v>
      </c>
      <c r="O145" s="14"/>
      <c r="P145" s="14"/>
      <c r="Q145" s="12" t="s">
        <v>30</v>
      </c>
      <c r="R145" s="12" t="s">
        <v>30</v>
      </c>
      <c r="S145" s="12" t="s">
        <v>33</v>
      </c>
      <c r="T145" s="12" t="s">
        <v>1059</v>
      </c>
      <c r="U145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296753 Draft</v>
      </c>
      <c r="V145" s="12" t="s">
        <v>788</v>
      </c>
      <c r="W145" s="12" t="s">
        <v>762</v>
      </c>
      <c r="X145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45" s="12" t="s">
        <v>762</v>
      </c>
      <c r="Z145" s="12" t="s">
        <v>762</v>
      </c>
      <c r="AA145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45" s="12" t="s">
        <v>762</v>
      </c>
      <c r="AC145" s="12" t="s">
        <v>762</v>
      </c>
      <c r="AD145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45" s="12" t="s">
        <v>762</v>
      </c>
      <c r="AF145" s="12" t="s">
        <v>762</v>
      </c>
      <c r="AG145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45" s="12" t="s">
        <v>762</v>
      </c>
      <c r="AI145" s="12" t="s">
        <v>762</v>
      </c>
      <c r="AJ145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45" s="12" t="s">
        <v>762</v>
      </c>
      <c r="AL145" s="12"/>
      <c r="AM145" s="12"/>
      <c r="AN145" s="12"/>
      <c r="AO145" s="12" t="s">
        <v>66</v>
      </c>
      <c r="AP145" s="12" t="s">
        <v>66</v>
      </c>
      <c r="AQ145" s="12"/>
      <c r="AR145" s="14"/>
      <c r="AS145" s="14"/>
      <c r="AT145" s="13">
        <v>43559</v>
      </c>
      <c r="AU145" s="14"/>
    </row>
    <row r="146" spans="1:47" ht="18.75" x14ac:dyDescent="0.3">
      <c r="A146" s="12" t="s">
        <v>718</v>
      </c>
      <c r="B146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TK792315</v>
      </c>
      <c r="C146" s="12" t="s">
        <v>719</v>
      </c>
      <c r="D146" s="12" t="s">
        <v>720</v>
      </c>
      <c r="E146" s="12" t="s">
        <v>721</v>
      </c>
      <c r="F146" s="13">
        <v>43560</v>
      </c>
      <c r="G146" s="13">
        <v>43564</v>
      </c>
      <c r="H146" s="12" t="s">
        <v>722</v>
      </c>
      <c r="I146" s="13">
        <v>43708</v>
      </c>
      <c r="J146" s="12" t="s">
        <v>66</v>
      </c>
      <c r="K146" s="12" t="s">
        <v>29</v>
      </c>
      <c r="L146" s="14">
        <v>3</v>
      </c>
      <c r="M146" s="14">
        <v>180</v>
      </c>
      <c r="N146" s="14">
        <v>3</v>
      </c>
      <c r="O146" s="14"/>
      <c r="P146" s="14"/>
      <c r="Q146" s="12" t="s">
        <v>30</v>
      </c>
      <c r="R146" s="12" t="s">
        <v>30</v>
      </c>
      <c r="S146" s="12" t="s">
        <v>33</v>
      </c>
      <c r="T146" s="12" t="s">
        <v>1067</v>
      </c>
      <c r="U146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231509 Verified</v>
      </c>
      <c r="V146" s="12" t="s">
        <v>785</v>
      </c>
      <c r="W146" s="12" t="s">
        <v>762</v>
      </c>
      <c r="X146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46" s="12" t="s">
        <v>762</v>
      </c>
      <c r="Z146" s="12" t="s">
        <v>762</v>
      </c>
      <c r="AA146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46" s="12" t="s">
        <v>762</v>
      </c>
      <c r="AC146" s="12" t="s">
        <v>762</v>
      </c>
      <c r="AD146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46" s="12" t="s">
        <v>762</v>
      </c>
      <c r="AF146" s="12" t="s">
        <v>762</v>
      </c>
      <c r="AG146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46" s="12" t="s">
        <v>762</v>
      </c>
      <c r="AI146" s="12" t="s">
        <v>762</v>
      </c>
      <c r="AJ146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46" s="12" t="s">
        <v>762</v>
      </c>
      <c r="AL146" s="12"/>
      <c r="AM146" s="12"/>
      <c r="AN146" s="12"/>
      <c r="AO146" s="12" t="s">
        <v>66</v>
      </c>
      <c r="AP146" s="12" t="s">
        <v>66</v>
      </c>
      <c r="AQ146" s="12"/>
      <c r="AR146" s="14"/>
      <c r="AS146" s="14"/>
      <c r="AT146" s="13">
        <v>43559</v>
      </c>
      <c r="AU146" s="14"/>
    </row>
    <row r="147" spans="1:47" ht="18.75" x14ac:dyDescent="0.3">
      <c r="A147" s="12" t="s">
        <v>723</v>
      </c>
      <c r="B147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TK792369</v>
      </c>
      <c r="C147" s="12" t="s">
        <v>724</v>
      </c>
      <c r="D147" s="12" t="s">
        <v>725</v>
      </c>
      <c r="E147" s="12" t="s">
        <v>726</v>
      </c>
      <c r="F147" s="13">
        <v>43560</v>
      </c>
      <c r="G147" s="13">
        <v>43560</v>
      </c>
      <c r="H147" s="12" t="s">
        <v>36</v>
      </c>
      <c r="I147" s="13">
        <v>43636</v>
      </c>
      <c r="J147" s="12" t="s">
        <v>66</v>
      </c>
      <c r="K147" s="12" t="s">
        <v>34</v>
      </c>
      <c r="L147" s="14">
        <v>3</v>
      </c>
      <c r="M147" s="14">
        <v>18</v>
      </c>
      <c r="N147" s="14">
        <v>2</v>
      </c>
      <c r="O147" s="14"/>
      <c r="P147" s="14"/>
      <c r="Q147" s="12" t="s">
        <v>30</v>
      </c>
      <c r="R147" s="12" t="s">
        <v>30</v>
      </c>
      <c r="S147" s="12" t="s">
        <v>33</v>
      </c>
      <c r="T147" s="12" t="s">
        <v>762</v>
      </c>
      <c r="U147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47" s="12" t="s">
        <v>762</v>
      </c>
      <c r="W147" s="12" t="s">
        <v>762</v>
      </c>
      <c r="X147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47" s="12" t="s">
        <v>762</v>
      </c>
      <c r="Z147" s="12" t="s">
        <v>762</v>
      </c>
      <c r="AA147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47" s="12" t="s">
        <v>762</v>
      </c>
      <c r="AC147" s="12" t="s">
        <v>762</v>
      </c>
      <c r="AD147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47" s="12" t="s">
        <v>762</v>
      </c>
      <c r="AF147" s="12" t="s">
        <v>762</v>
      </c>
      <c r="AG147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47" s="12" t="s">
        <v>762</v>
      </c>
      <c r="AI147" s="12" t="s">
        <v>762</v>
      </c>
      <c r="AJ147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47" s="12" t="s">
        <v>762</v>
      </c>
      <c r="AL147" s="12"/>
      <c r="AM147" s="12"/>
      <c r="AN147" s="12"/>
      <c r="AO147" s="12" t="s">
        <v>66</v>
      </c>
      <c r="AP147" s="12" t="s">
        <v>66</v>
      </c>
      <c r="AQ147" s="12"/>
      <c r="AR147" s="14"/>
      <c r="AS147" s="14"/>
      <c r="AT147" s="13">
        <v>43559</v>
      </c>
      <c r="AU147" s="14"/>
    </row>
    <row r="148" spans="1:47" ht="18.75" x14ac:dyDescent="0.3">
      <c r="A148" s="12" t="s">
        <v>727</v>
      </c>
      <c r="B148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TK792368</v>
      </c>
      <c r="C148" s="12" t="s">
        <v>728</v>
      </c>
      <c r="D148" s="12" t="s">
        <v>729</v>
      </c>
      <c r="E148" s="12" t="s">
        <v>726</v>
      </c>
      <c r="F148" s="13">
        <v>43561</v>
      </c>
      <c r="G148" s="13">
        <v>43561</v>
      </c>
      <c r="H148" s="12" t="s">
        <v>36</v>
      </c>
      <c r="I148" s="13">
        <v>43636</v>
      </c>
      <c r="J148" s="12" t="s">
        <v>66</v>
      </c>
      <c r="K148" s="12" t="s">
        <v>29</v>
      </c>
      <c r="L148" s="14">
        <v>3</v>
      </c>
      <c r="M148" s="14">
        <v>9</v>
      </c>
      <c r="N148" s="14">
        <v>2</v>
      </c>
      <c r="O148" s="14"/>
      <c r="P148" s="14"/>
      <c r="Q148" s="12" t="s">
        <v>30</v>
      </c>
      <c r="R148" s="12" t="s">
        <v>30</v>
      </c>
      <c r="S148" s="12" t="s">
        <v>33</v>
      </c>
      <c r="T148" s="12" t="s">
        <v>762</v>
      </c>
      <c r="U148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48" s="12" t="s">
        <v>762</v>
      </c>
      <c r="W148" s="12" t="s">
        <v>762</v>
      </c>
      <c r="X148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48" s="12" t="s">
        <v>762</v>
      </c>
      <c r="Z148" s="12" t="s">
        <v>762</v>
      </c>
      <c r="AA148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48" s="12" t="s">
        <v>762</v>
      </c>
      <c r="AC148" s="12" t="s">
        <v>762</v>
      </c>
      <c r="AD148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48" s="12" t="s">
        <v>762</v>
      </c>
      <c r="AF148" s="12" t="s">
        <v>762</v>
      </c>
      <c r="AG148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48" s="12" t="s">
        <v>762</v>
      </c>
      <c r="AI148" s="12" t="s">
        <v>762</v>
      </c>
      <c r="AJ148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48" s="12" t="s">
        <v>762</v>
      </c>
      <c r="AL148" s="12"/>
      <c r="AM148" s="12"/>
      <c r="AN148" s="12"/>
      <c r="AO148" s="12" t="s">
        <v>66</v>
      </c>
      <c r="AP148" s="12" t="s">
        <v>66</v>
      </c>
      <c r="AQ148" s="12"/>
      <c r="AR148" s="14"/>
      <c r="AS148" s="14"/>
      <c r="AT148" s="13">
        <v>43559</v>
      </c>
      <c r="AU148" s="14"/>
    </row>
    <row r="149" spans="1:47" ht="18.75" x14ac:dyDescent="0.3">
      <c r="A149" s="12" t="s">
        <v>340</v>
      </c>
      <c r="B149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TK831842</v>
      </c>
      <c r="C149" s="12" t="s">
        <v>341</v>
      </c>
      <c r="D149" s="12" t="s">
        <v>342</v>
      </c>
      <c r="E149" s="12" t="s">
        <v>310</v>
      </c>
      <c r="F149" s="13">
        <v>43561</v>
      </c>
      <c r="G149" s="13">
        <v>43561</v>
      </c>
      <c r="H149" s="12" t="s">
        <v>36</v>
      </c>
      <c r="I149" s="13">
        <v>43598</v>
      </c>
      <c r="J149" s="12" t="s">
        <v>66</v>
      </c>
      <c r="K149" s="12" t="s">
        <v>34</v>
      </c>
      <c r="L149" s="14">
        <v>3</v>
      </c>
      <c r="M149" s="14">
        <v>9</v>
      </c>
      <c r="N149" s="14">
        <v>3</v>
      </c>
      <c r="O149" s="14"/>
      <c r="P149" s="14"/>
      <c r="Q149" s="12" t="s">
        <v>30</v>
      </c>
      <c r="R149" s="12" t="s">
        <v>30</v>
      </c>
      <c r="S149" s="12" t="s">
        <v>33</v>
      </c>
      <c r="T149" s="12" t="s">
        <v>1059</v>
      </c>
      <c r="U149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296753 Draft</v>
      </c>
      <c r="V149" s="12" t="s">
        <v>788</v>
      </c>
      <c r="W149" s="12" t="s">
        <v>762</v>
      </c>
      <c r="X149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49" s="12" t="s">
        <v>762</v>
      </c>
      <c r="Z149" s="12" t="s">
        <v>762</v>
      </c>
      <c r="AA149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49" s="12" t="s">
        <v>762</v>
      </c>
      <c r="AC149" s="12" t="s">
        <v>762</v>
      </c>
      <c r="AD149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49" s="12" t="s">
        <v>762</v>
      </c>
      <c r="AF149" s="12" t="s">
        <v>762</v>
      </c>
      <c r="AG149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49" s="12" t="s">
        <v>762</v>
      </c>
      <c r="AI149" s="12" t="s">
        <v>762</v>
      </c>
      <c r="AJ149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49" s="12" t="s">
        <v>762</v>
      </c>
      <c r="AL149" s="12"/>
      <c r="AM149" s="12"/>
      <c r="AN149" s="12"/>
      <c r="AO149" s="12" t="s">
        <v>66</v>
      </c>
      <c r="AP149" s="12" t="s">
        <v>66</v>
      </c>
      <c r="AQ149" s="12"/>
      <c r="AR149" s="14"/>
      <c r="AS149" s="14"/>
      <c r="AT149" s="13">
        <v>43559</v>
      </c>
      <c r="AU149" s="14"/>
    </row>
    <row r="150" spans="1:47" ht="18.75" x14ac:dyDescent="0.3">
      <c r="A150" s="12" t="s">
        <v>730</v>
      </c>
      <c r="B150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TK792371</v>
      </c>
      <c r="C150" s="12" t="s">
        <v>731</v>
      </c>
      <c r="D150" s="12" t="s">
        <v>732</v>
      </c>
      <c r="E150" s="12" t="s">
        <v>726</v>
      </c>
      <c r="F150" s="13">
        <v>43562</v>
      </c>
      <c r="G150" s="13">
        <v>43562</v>
      </c>
      <c r="H150" s="12" t="s">
        <v>36</v>
      </c>
      <c r="I150" s="13">
        <v>43636</v>
      </c>
      <c r="J150" s="12" t="s">
        <v>66</v>
      </c>
      <c r="K150" s="12" t="s">
        <v>34</v>
      </c>
      <c r="L150" s="14">
        <v>3</v>
      </c>
      <c r="M150" s="14">
        <v>18</v>
      </c>
      <c r="N150" s="14">
        <v>2</v>
      </c>
      <c r="O150" s="14"/>
      <c r="P150" s="14"/>
      <c r="Q150" s="12" t="s">
        <v>30</v>
      </c>
      <c r="R150" s="12" t="s">
        <v>30</v>
      </c>
      <c r="S150" s="12" t="s">
        <v>33</v>
      </c>
      <c r="T150" s="12" t="s">
        <v>762</v>
      </c>
      <c r="U150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50" s="12" t="s">
        <v>762</v>
      </c>
      <c r="W150" s="12" t="s">
        <v>762</v>
      </c>
      <c r="X150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50" s="12" t="s">
        <v>762</v>
      </c>
      <c r="Z150" s="12" t="s">
        <v>762</v>
      </c>
      <c r="AA150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50" s="12" t="s">
        <v>762</v>
      </c>
      <c r="AC150" s="12" t="s">
        <v>762</v>
      </c>
      <c r="AD150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50" s="12" t="s">
        <v>762</v>
      </c>
      <c r="AF150" s="12" t="s">
        <v>762</v>
      </c>
      <c r="AG150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50" s="12" t="s">
        <v>762</v>
      </c>
      <c r="AI150" s="12" t="s">
        <v>762</v>
      </c>
      <c r="AJ150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50" s="12" t="s">
        <v>762</v>
      </c>
      <c r="AL150" s="12"/>
      <c r="AM150" s="12"/>
      <c r="AN150" s="12"/>
      <c r="AO150" s="12" t="s">
        <v>66</v>
      </c>
      <c r="AP150" s="12" t="s">
        <v>66</v>
      </c>
      <c r="AQ150" s="12"/>
      <c r="AR150" s="14"/>
      <c r="AS150" s="14"/>
      <c r="AT150" s="13">
        <v>43559</v>
      </c>
      <c r="AU150" s="14"/>
    </row>
    <row r="151" spans="1:47" ht="18.75" x14ac:dyDescent="0.3">
      <c r="A151" s="12" t="s">
        <v>733</v>
      </c>
      <c r="B151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TK792372</v>
      </c>
      <c r="C151" s="12" t="s">
        <v>734</v>
      </c>
      <c r="D151" s="12" t="s">
        <v>735</v>
      </c>
      <c r="E151" s="12" t="s">
        <v>726</v>
      </c>
      <c r="F151" s="13">
        <v>43562</v>
      </c>
      <c r="G151" s="13">
        <v>43562</v>
      </c>
      <c r="H151" s="12" t="s">
        <v>36</v>
      </c>
      <c r="I151" s="13">
        <v>43636</v>
      </c>
      <c r="J151" s="12" t="s">
        <v>66</v>
      </c>
      <c r="K151" s="12" t="s">
        <v>34</v>
      </c>
      <c r="L151" s="14">
        <v>3</v>
      </c>
      <c r="M151" s="14">
        <v>12</v>
      </c>
      <c r="N151" s="14">
        <v>2</v>
      </c>
      <c r="O151" s="14"/>
      <c r="P151" s="14"/>
      <c r="Q151" s="12" t="s">
        <v>30</v>
      </c>
      <c r="R151" s="12" t="s">
        <v>30</v>
      </c>
      <c r="S151" s="12" t="s">
        <v>33</v>
      </c>
      <c r="T151" s="12" t="s">
        <v>762</v>
      </c>
      <c r="U151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51" s="12" t="s">
        <v>762</v>
      </c>
      <c r="W151" s="12" t="s">
        <v>762</v>
      </c>
      <c r="X151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51" s="12" t="s">
        <v>762</v>
      </c>
      <c r="Z151" s="12" t="s">
        <v>762</v>
      </c>
      <c r="AA151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51" s="12" t="s">
        <v>762</v>
      </c>
      <c r="AC151" s="12" t="s">
        <v>762</v>
      </c>
      <c r="AD151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51" s="12" t="s">
        <v>762</v>
      </c>
      <c r="AF151" s="12" t="s">
        <v>762</v>
      </c>
      <c r="AG151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51" s="12" t="s">
        <v>762</v>
      </c>
      <c r="AI151" s="12" t="s">
        <v>762</v>
      </c>
      <c r="AJ151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51" s="12" t="s">
        <v>762</v>
      </c>
      <c r="AL151" s="12"/>
      <c r="AM151" s="12"/>
      <c r="AN151" s="12"/>
      <c r="AO151" s="12" t="s">
        <v>66</v>
      </c>
      <c r="AP151" s="12" t="s">
        <v>66</v>
      </c>
      <c r="AQ151" s="12"/>
      <c r="AR151" s="14"/>
      <c r="AS151" s="14"/>
      <c r="AT151" s="13">
        <v>43559</v>
      </c>
      <c r="AU151" s="14"/>
    </row>
    <row r="152" spans="1:47" ht="18.75" x14ac:dyDescent="0.3">
      <c r="A152" s="12"/>
      <c r="B152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/>
      </c>
      <c r="C152" s="12"/>
      <c r="D152" s="12"/>
      <c r="E152" s="12"/>
      <c r="F152" s="13"/>
      <c r="G152" s="13"/>
      <c r="H152" s="12"/>
      <c r="I152" s="13"/>
      <c r="J152" s="12"/>
      <c r="K152" s="12"/>
      <c r="L152" s="14"/>
      <c r="M152" s="14"/>
      <c r="N152" s="14"/>
      <c r="O152" s="14"/>
      <c r="P152" s="14"/>
      <c r="Q152" s="12"/>
      <c r="R152" s="12"/>
      <c r="S152" s="12"/>
      <c r="T152" s="12" t="s">
        <v>762</v>
      </c>
      <c r="U152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52" s="12" t="s">
        <v>762</v>
      </c>
      <c r="W152" s="12" t="s">
        <v>762</v>
      </c>
      <c r="X152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52" s="12" t="s">
        <v>762</v>
      </c>
      <c r="Z152" s="12" t="s">
        <v>762</v>
      </c>
      <c r="AA152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52" s="12" t="s">
        <v>762</v>
      </c>
      <c r="AC152" s="12" t="s">
        <v>762</v>
      </c>
      <c r="AD152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52" s="12" t="s">
        <v>762</v>
      </c>
      <c r="AF152" s="12" t="s">
        <v>762</v>
      </c>
      <c r="AG152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52" s="12" t="s">
        <v>762</v>
      </c>
      <c r="AI152" s="12" t="s">
        <v>762</v>
      </c>
      <c r="AJ152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52" s="12" t="s">
        <v>762</v>
      </c>
      <c r="AL152" s="12"/>
      <c r="AM152" s="12"/>
      <c r="AN152" s="12"/>
      <c r="AO152" s="12"/>
      <c r="AP152" s="12"/>
      <c r="AQ152" s="12"/>
      <c r="AR152" s="14"/>
      <c r="AS152" s="14"/>
      <c r="AT152" s="13">
        <v>43566</v>
      </c>
      <c r="AU152" s="14"/>
    </row>
    <row r="153" spans="1:47" ht="18.75" x14ac:dyDescent="0.3">
      <c r="A153" s="12"/>
      <c r="B153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4/11/2019</v>
      </c>
      <c r="C153" s="12" t="s">
        <v>879</v>
      </c>
      <c r="D153" s="12"/>
      <c r="E153" s="12"/>
      <c r="F153" s="13"/>
      <c r="G153" s="13"/>
      <c r="H153" s="12"/>
      <c r="I153" s="13"/>
      <c r="J153" s="12"/>
      <c r="K153" s="12"/>
      <c r="L153" s="14"/>
      <c r="M153" s="14"/>
      <c r="N153" s="14"/>
      <c r="O153" s="14"/>
      <c r="P153" s="14"/>
      <c r="Q153" s="12"/>
      <c r="R153" s="12"/>
      <c r="S153" s="12"/>
      <c r="T153" s="12" t="s">
        <v>762</v>
      </c>
      <c r="U153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53" s="12" t="s">
        <v>762</v>
      </c>
      <c r="W153" s="12" t="s">
        <v>762</v>
      </c>
      <c r="X153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53" s="12" t="s">
        <v>762</v>
      </c>
      <c r="Z153" s="12" t="s">
        <v>762</v>
      </c>
      <c r="AA153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53" s="12" t="s">
        <v>762</v>
      </c>
      <c r="AC153" s="12" t="s">
        <v>762</v>
      </c>
      <c r="AD153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53" s="12" t="s">
        <v>762</v>
      </c>
      <c r="AF153" s="12" t="s">
        <v>762</v>
      </c>
      <c r="AG153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53" s="12" t="s">
        <v>762</v>
      </c>
      <c r="AI153" s="12" t="s">
        <v>762</v>
      </c>
      <c r="AJ153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53" s="12" t="s">
        <v>762</v>
      </c>
      <c r="AL153" s="12"/>
      <c r="AM153" s="12"/>
      <c r="AN153" s="12"/>
      <c r="AO153" s="12"/>
      <c r="AP153" s="12"/>
      <c r="AQ153" s="12"/>
      <c r="AR153" s="14"/>
      <c r="AS153" s="14"/>
      <c r="AT153" s="13">
        <v>43566</v>
      </c>
      <c r="AU153" s="14"/>
    </row>
    <row r="154" spans="1:47" ht="18.75" x14ac:dyDescent="0.3">
      <c r="A154" s="12" t="s">
        <v>911</v>
      </c>
      <c r="B154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TK792318</v>
      </c>
      <c r="C154" s="12" t="s">
        <v>912</v>
      </c>
      <c r="D154" s="12" t="s">
        <v>913</v>
      </c>
      <c r="E154" s="12" t="s">
        <v>721</v>
      </c>
      <c r="F154" s="13">
        <v>43566</v>
      </c>
      <c r="G154" s="13">
        <v>43566</v>
      </c>
      <c r="H154" s="12" t="s">
        <v>914</v>
      </c>
      <c r="I154" s="13">
        <v>43708</v>
      </c>
      <c r="J154" s="12" t="s">
        <v>66</v>
      </c>
      <c r="K154" s="12" t="s">
        <v>34</v>
      </c>
      <c r="L154" s="14">
        <v>3</v>
      </c>
      <c r="M154" s="14">
        <v>24</v>
      </c>
      <c r="N154" s="14">
        <v>3</v>
      </c>
      <c r="O154" s="14"/>
      <c r="P154" s="14"/>
      <c r="Q154" s="12" t="s">
        <v>30</v>
      </c>
      <c r="R154" s="12" t="s">
        <v>30</v>
      </c>
      <c r="S154" s="12" t="s">
        <v>33</v>
      </c>
      <c r="T154" s="12" t="s">
        <v>1068</v>
      </c>
      <c r="U154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231537 Verified</v>
      </c>
      <c r="V154" s="12" t="s">
        <v>784</v>
      </c>
      <c r="W154" s="12" t="s">
        <v>762</v>
      </c>
      <c r="X154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54" s="12" t="s">
        <v>762</v>
      </c>
      <c r="Z154" s="12" t="s">
        <v>762</v>
      </c>
      <c r="AA154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54" s="12" t="s">
        <v>762</v>
      </c>
      <c r="AC154" s="12" t="s">
        <v>762</v>
      </c>
      <c r="AD154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54" s="12" t="s">
        <v>762</v>
      </c>
      <c r="AF154" s="12" t="s">
        <v>762</v>
      </c>
      <c r="AG154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54" s="12" t="s">
        <v>762</v>
      </c>
      <c r="AI154" s="12" t="s">
        <v>762</v>
      </c>
      <c r="AJ154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54" s="12" t="s">
        <v>762</v>
      </c>
      <c r="AL154" s="12"/>
      <c r="AM154" s="12"/>
      <c r="AN154" s="12"/>
      <c r="AO154" s="12" t="s">
        <v>66</v>
      </c>
      <c r="AP154" s="12" t="s">
        <v>66</v>
      </c>
      <c r="AQ154" s="12"/>
      <c r="AR154" s="14"/>
      <c r="AS154" s="14"/>
      <c r="AT154" s="13">
        <v>43566</v>
      </c>
      <c r="AU154" s="14"/>
    </row>
    <row r="155" spans="1:47" ht="18.75" x14ac:dyDescent="0.3">
      <c r="A155" s="12" t="s">
        <v>915</v>
      </c>
      <c r="B155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TK834274</v>
      </c>
      <c r="C155" s="12" t="s">
        <v>916</v>
      </c>
      <c r="D155" s="12" t="s">
        <v>917</v>
      </c>
      <c r="E155" s="12" t="s">
        <v>918</v>
      </c>
      <c r="F155" s="13">
        <v>43567</v>
      </c>
      <c r="G155" s="13">
        <v>43567</v>
      </c>
      <c r="H155" s="12" t="s">
        <v>36</v>
      </c>
      <c r="I155" s="13">
        <v>43555</v>
      </c>
      <c r="J155" s="12" t="s">
        <v>66</v>
      </c>
      <c r="K155" s="12" t="s">
        <v>34</v>
      </c>
      <c r="L155" s="14">
        <v>3</v>
      </c>
      <c r="M155" s="14">
        <v>30</v>
      </c>
      <c r="N155" s="14">
        <v>3</v>
      </c>
      <c r="O155" s="14"/>
      <c r="P155" s="14"/>
      <c r="Q155" s="12" t="s">
        <v>30</v>
      </c>
      <c r="R155" s="12" t="s">
        <v>30</v>
      </c>
      <c r="S155" s="12" t="s">
        <v>31</v>
      </c>
      <c r="T155" s="12" t="s">
        <v>1069</v>
      </c>
      <c r="U155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283043 Suspended</v>
      </c>
      <c r="V155" s="12" t="s">
        <v>783</v>
      </c>
      <c r="W155" s="12" t="s">
        <v>762</v>
      </c>
      <c r="X155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55" s="12" t="s">
        <v>762</v>
      </c>
      <c r="Z155" s="12" t="s">
        <v>762</v>
      </c>
      <c r="AA155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55" s="12" t="s">
        <v>762</v>
      </c>
      <c r="AC155" s="12" t="s">
        <v>762</v>
      </c>
      <c r="AD155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55" s="12" t="s">
        <v>762</v>
      </c>
      <c r="AF155" s="12" t="s">
        <v>762</v>
      </c>
      <c r="AG155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55" s="12" t="s">
        <v>762</v>
      </c>
      <c r="AI155" s="12" t="s">
        <v>762</v>
      </c>
      <c r="AJ155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55" s="12" t="s">
        <v>762</v>
      </c>
      <c r="AL155" s="12"/>
      <c r="AM155" s="12"/>
      <c r="AN155" s="12"/>
      <c r="AO155" s="12" t="s">
        <v>66</v>
      </c>
      <c r="AP155" s="12" t="s">
        <v>66</v>
      </c>
      <c r="AQ155" s="12"/>
      <c r="AR155" s="14"/>
      <c r="AS155" s="14"/>
      <c r="AT155" s="13">
        <v>43566</v>
      </c>
      <c r="AU155" s="14"/>
    </row>
    <row r="156" spans="1:47" ht="18.75" x14ac:dyDescent="0.3">
      <c r="A156" s="12" t="s">
        <v>919</v>
      </c>
      <c r="B156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TK823896</v>
      </c>
      <c r="C156" s="12" t="s">
        <v>920</v>
      </c>
      <c r="D156" s="12" t="s">
        <v>921</v>
      </c>
      <c r="E156" s="12" t="s">
        <v>922</v>
      </c>
      <c r="F156" s="13">
        <v>43567</v>
      </c>
      <c r="G156" s="13">
        <v>43567</v>
      </c>
      <c r="H156" s="12" t="s">
        <v>36</v>
      </c>
      <c r="I156" s="13">
        <v>43594</v>
      </c>
      <c r="J156" s="12" t="s">
        <v>66</v>
      </c>
      <c r="K156" s="12" t="s">
        <v>29</v>
      </c>
      <c r="L156" s="14">
        <v>3</v>
      </c>
      <c r="M156" s="14">
        <v>30</v>
      </c>
      <c r="N156" s="14">
        <v>3</v>
      </c>
      <c r="O156" s="14"/>
      <c r="P156" s="14"/>
      <c r="Q156" s="12" t="s">
        <v>30</v>
      </c>
      <c r="R156" s="12" t="s">
        <v>30</v>
      </c>
      <c r="S156" s="12" t="s">
        <v>33</v>
      </c>
      <c r="T156" s="12" t="s">
        <v>762</v>
      </c>
      <c r="U156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56" s="12" t="s">
        <v>762</v>
      </c>
      <c r="W156" s="12" t="s">
        <v>762</v>
      </c>
      <c r="X156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56" s="12" t="s">
        <v>762</v>
      </c>
      <c r="Z156" s="12" t="s">
        <v>762</v>
      </c>
      <c r="AA156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56" s="12" t="s">
        <v>762</v>
      </c>
      <c r="AC156" s="12" t="s">
        <v>762</v>
      </c>
      <c r="AD156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56" s="12" t="s">
        <v>762</v>
      </c>
      <c r="AF156" s="12" t="s">
        <v>762</v>
      </c>
      <c r="AG156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56" s="12" t="s">
        <v>762</v>
      </c>
      <c r="AI156" s="12" t="s">
        <v>762</v>
      </c>
      <c r="AJ156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56" s="12" t="s">
        <v>762</v>
      </c>
      <c r="AL156" s="12"/>
      <c r="AM156" s="12"/>
      <c r="AN156" s="12"/>
      <c r="AO156" s="12" t="s">
        <v>66</v>
      </c>
      <c r="AP156" s="12" t="s">
        <v>66</v>
      </c>
      <c r="AQ156" s="12"/>
      <c r="AR156" s="14"/>
      <c r="AS156" s="14"/>
      <c r="AT156" s="13">
        <v>43566</v>
      </c>
      <c r="AU156" s="14"/>
    </row>
    <row r="157" spans="1:47" ht="18.75" x14ac:dyDescent="0.3">
      <c r="A157" s="12" t="s">
        <v>923</v>
      </c>
      <c r="B157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TK792319</v>
      </c>
      <c r="C157" s="12" t="s">
        <v>924</v>
      </c>
      <c r="D157" s="12" t="s">
        <v>925</v>
      </c>
      <c r="E157" s="12" t="s">
        <v>721</v>
      </c>
      <c r="F157" s="13">
        <v>43567</v>
      </c>
      <c r="G157" s="13">
        <v>43567</v>
      </c>
      <c r="H157" s="12" t="s">
        <v>914</v>
      </c>
      <c r="I157" s="13">
        <v>43708</v>
      </c>
      <c r="J157" s="12" t="s">
        <v>66</v>
      </c>
      <c r="K157" s="12" t="s">
        <v>34</v>
      </c>
      <c r="L157" s="14">
        <v>3</v>
      </c>
      <c r="M157" s="14">
        <v>24</v>
      </c>
      <c r="N157" s="14">
        <v>3</v>
      </c>
      <c r="O157" s="14"/>
      <c r="P157" s="14"/>
      <c r="Q157" s="12" t="s">
        <v>30</v>
      </c>
      <c r="R157" s="12" t="s">
        <v>30</v>
      </c>
      <c r="S157" s="12" t="s">
        <v>33</v>
      </c>
      <c r="T157" s="12" t="s">
        <v>1068</v>
      </c>
      <c r="U157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231537 Verified</v>
      </c>
      <c r="V157" s="12" t="s">
        <v>784</v>
      </c>
      <c r="W157" s="12" t="s">
        <v>762</v>
      </c>
      <c r="X157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57" s="12" t="s">
        <v>762</v>
      </c>
      <c r="Z157" s="12" t="s">
        <v>762</v>
      </c>
      <c r="AA157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57" s="12" t="s">
        <v>762</v>
      </c>
      <c r="AC157" s="12" t="s">
        <v>762</v>
      </c>
      <c r="AD157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57" s="12" t="s">
        <v>762</v>
      </c>
      <c r="AF157" s="12" t="s">
        <v>762</v>
      </c>
      <c r="AG157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57" s="12" t="s">
        <v>762</v>
      </c>
      <c r="AI157" s="12" t="s">
        <v>762</v>
      </c>
      <c r="AJ157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57" s="12" t="s">
        <v>762</v>
      </c>
      <c r="AL157" s="12"/>
      <c r="AM157" s="12"/>
      <c r="AN157" s="12"/>
      <c r="AO157" s="12" t="s">
        <v>66</v>
      </c>
      <c r="AP157" s="12" t="s">
        <v>66</v>
      </c>
      <c r="AQ157" s="12"/>
      <c r="AR157" s="14"/>
      <c r="AS157" s="14"/>
      <c r="AT157" s="13">
        <v>43566</v>
      </c>
      <c r="AU157" s="14"/>
    </row>
    <row r="158" spans="1:47" ht="18.75" x14ac:dyDescent="0.3">
      <c r="A158" s="12" t="s">
        <v>926</v>
      </c>
      <c r="B158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TK834275</v>
      </c>
      <c r="C158" s="12" t="s">
        <v>927</v>
      </c>
      <c r="D158" s="12" t="s">
        <v>928</v>
      </c>
      <c r="E158" s="12" t="s">
        <v>918</v>
      </c>
      <c r="F158" s="13">
        <v>43568</v>
      </c>
      <c r="G158" s="13">
        <v>43571</v>
      </c>
      <c r="H158" s="12" t="s">
        <v>887</v>
      </c>
      <c r="I158" s="13">
        <v>43496</v>
      </c>
      <c r="J158" s="12" t="s">
        <v>66</v>
      </c>
      <c r="K158" s="12" t="s">
        <v>29</v>
      </c>
      <c r="L158" s="14">
        <v>3</v>
      </c>
      <c r="M158" s="14">
        <v>120</v>
      </c>
      <c r="N158" s="14">
        <v>3</v>
      </c>
      <c r="O158" s="14"/>
      <c r="P158" s="14"/>
      <c r="Q158" s="12" t="s">
        <v>30</v>
      </c>
      <c r="R158" s="12" t="s">
        <v>30</v>
      </c>
      <c r="S158" s="12" t="s">
        <v>31</v>
      </c>
      <c r="T158" s="12" t="s">
        <v>1070</v>
      </c>
      <c r="U158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>268106 Verified</v>
      </c>
      <c r="V158" s="12" t="s">
        <v>785</v>
      </c>
      <c r="W158" s="12" t="s">
        <v>762</v>
      </c>
      <c r="X158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58" s="12" t="s">
        <v>762</v>
      </c>
      <c r="Z158" s="12" t="s">
        <v>762</v>
      </c>
      <c r="AA158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58" s="12" t="s">
        <v>762</v>
      </c>
      <c r="AC158" s="12" t="s">
        <v>762</v>
      </c>
      <c r="AD158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58" s="12" t="s">
        <v>762</v>
      </c>
      <c r="AF158" s="12" t="s">
        <v>762</v>
      </c>
      <c r="AG158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58" s="12" t="s">
        <v>762</v>
      </c>
      <c r="AI158" s="12" t="s">
        <v>762</v>
      </c>
      <c r="AJ158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58" s="12" t="s">
        <v>762</v>
      </c>
      <c r="AL158" s="12" t="s">
        <v>929</v>
      </c>
      <c r="AM158" s="12" t="s">
        <v>45</v>
      </c>
      <c r="AN158" s="12"/>
      <c r="AO158" s="12" t="s">
        <v>66</v>
      </c>
      <c r="AP158" s="12" t="s">
        <v>66</v>
      </c>
      <c r="AQ158" s="12"/>
      <c r="AR158" s="14"/>
      <c r="AS158" s="14"/>
      <c r="AT158" s="13">
        <v>43566</v>
      </c>
      <c r="AU158" s="14"/>
    </row>
    <row r="159" spans="1:47" ht="18.75" x14ac:dyDescent="0.3">
      <c r="A159" s="12" t="s">
        <v>930</v>
      </c>
      <c r="B159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TK823904</v>
      </c>
      <c r="C159" s="12" t="s">
        <v>931</v>
      </c>
      <c r="D159" s="12" t="s">
        <v>932</v>
      </c>
      <c r="E159" s="12" t="s">
        <v>922</v>
      </c>
      <c r="F159" s="13">
        <v>43569</v>
      </c>
      <c r="G159" s="13">
        <v>43569</v>
      </c>
      <c r="H159" s="12" t="s">
        <v>36</v>
      </c>
      <c r="I159" s="13">
        <v>43594</v>
      </c>
      <c r="J159" s="12" t="s">
        <v>66</v>
      </c>
      <c r="K159" s="12" t="s">
        <v>34</v>
      </c>
      <c r="L159" s="14">
        <v>3</v>
      </c>
      <c r="M159" s="14">
        <v>18</v>
      </c>
      <c r="N159" s="14">
        <v>3</v>
      </c>
      <c r="O159" s="14"/>
      <c r="P159" s="14"/>
      <c r="Q159" s="12" t="s">
        <v>30</v>
      </c>
      <c r="R159" s="12" t="s">
        <v>30</v>
      </c>
      <c r="S159" s="12" t="s">
        <v>33</v>
      </c>
      <c r="T159" s="12" t="s">
        <v>762</v>
      </c>
      <c r="U159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59" s="12" t="s">
        <v>762</v>
      </c>
      <c r="W159" s="12" t="s">
        <v>762</v>
      </c>
      <c r="X159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59" s="12" t="s">
        <v>762</v>
      </c>
      <c r="Z159" s="12" t="s">
        <v>762</v>
      </c>
      <c r="AA159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59" s="12" t="s">
        <v>762</v>
      </c>
      <c r="AC159" s="12" t="s">
        <v>762</v>
      </c>
      <c r="AD159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59" s="12" t="s">
        <v>762</v>
      </c>
      <c r="AF159" s="12" t="s">
        <v>762</v>
      </c>
      <c r="AG159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59" s="12" t="s">
        <v>762</v>
      </c>
      <c r="AI159" s="12" t="s">
        <v>762</v>
      </c>
      <c r="AJ159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59" s="12" t="s">
        <v>762</v>
      </c>
      <c r="AL159" s="12"/>
      <c r="AM159" s="12"/>
      <c r="AN159" s="12"/>
      <c r="AO159" s="12" t="s">
        <v>66</v>
      </c>
      <c r="AP159" s="12" t="s">
        <v>66</v>
      </c>
      <c r="AQ159" s="12"/>
      <c r="AR159" s="14"/>
      <c r="AS159" s="14"/>
      <c r="AT159" s="13">
        <v>43566</v>
      </c>
      <c r="AU159" s="14"/>
    </row>
    <row r="160" spans="1:47" ht="18.75" x14ac:dyDescent="0.3">
      <c r="A160" s="12" t="s">
        <v>933</v>
      </c>
      <c r="B160" s="12" t="str">
        <f>IF(ISERROR(DATE(DAY(Pipe_Main[Work Order Number]),MONTH(Pipe_Main[Work Order Number]),YEAR(Pipe_Main[Work Order Number]))), HYPERLINK("http://ecow.ninja/maximo.html?p=" &amp; Pipe_Main[Work Order Number],Pipe_Main[Work Order Number]),IF( Pipe_Main[Work Order Number]="","",Pipe_Main[Work Order Number]))</f>
        <v>TK858596</v>
      </c>
      <c r="C160" s="12" t="s">
        <v>934</v>
      </c>
      <c r="D160" s="12" t="s">
        <v>935</v>
      </c>
      <c r="E160" s="12" t="s">
        <v>936</v>
      </c>
      <c r="F160" s="13">
        <v>43572</v>
      </c>
      <c r="G160" s="13">
        <v>43572</v>
      </c>
      <c r="H160" s="12" t="s">
        <v>36</v>
      </c>
      <c r="I160" s="13">
        <v>43586</v>
      </c>
      <c r="J160" s="12" t="s">
        <v>66</v>
      </c>
      <c r="K160" s="12" t="s">
        <v>34</v>
      </c>
      <c r="L160" s="14">
        <v>3</v>
      </c>
      <c r="M160" s="14">
        <v>13.5</v>
      </c>
      <c r="N160" s="14">
        <v>1</v>
      </c>
      <c r="O160" s="14"/>
      <c r="P160" s="14"/>
      <c r="Q160" s="12" t="s">
        <v>30</v>
      </c>
      <c r="R160" s="12" t="s">
        <v>42</v>
      </c>
      <c r="S160" s="12" t="s">
        <v>33</v>
      </c>
      <c r="T160" s="12" t="s">
        <v>762</v>
      </c>
      <c r="U160" s="15" t="str">
        <f>IF(Pipe_Main[Permit 1 Link]&lt;&gt;"",HYPERLINK("http://ecow.ninja/ecow.html?p=" &amp;_xlfn.ENCODEURL( Pipe_Main[Permit 1 Link]),RIGHT(Pipe_Main[Permit 1 Link],6)  &amp; " "   &amp;  _xlfn.IFS( ISNUMBER(SEARCH("Verified",Pipe_Main[Permit 1])),"Verified", ISNUMBER(SEARCH("Approved",Pipe_Main[Permit 1])), "TRA", ISNUMBER(SEARCH("Clos",Pipe_Main[Permit 1])), "Closed",ISNUMBER(SEARCH("SuspendedForRevalidation",Pipe_Main[Permit 1])), "Suspended", ISNUMBER(SEARCH("Requesting",Pipe_Main[Permit 1])),"Draft", ISNUMBER(SEARCH("ReadyToVerify",Pipe_Main[Permit 1])),"RTV", ISNUMBER(SEARCH("Authori",Pipe_Main[Permit 1])),"Authorised", ISNUMBER(SEARCH("Active",Pipe_Main[Permit 1])),"Live", TRUE,  "???")),"")</f>
        <v/>
      </c>
      <c r="V160" s="12" t="s">
        <v>762</v>
      </c>
      <c r="W160" s="12" t="s">
        <v>762</v>
      </c>
      <c r="X160" s="15" t="str">
        <f>IF(Pipe_Main[Permit 2 Link]&lt;&gt;"",HYPERLINK("http://ecow.ninja/ecow.html?p=" &amp;_xlfn.ENCODEURL( Pipe_Main[Permit 2 Link]),RIGHT(Pipe_Main[Permit 2 Link],6)  &amp; " "   &amp;  _xlfn.IFS( ISNUMBER(SEARCH("Verified",Pipe_Main[Permit 2])),"Verified", ISNUMBER(SEARCH("Approved",Pipe_Main[Permit 2])), "TRA", ISNUMBER(SEARCH("Clos",Pipe_Main[Permit 2])), "Closed",ISNUMBER(SEARCH("SuspendedForRevalidation",Pipe_Main[Permit 2])), "Suspended", ISNUMBER(SEARCH("Requesting",Pipe_Main[Permit 2])),"Draft", ISNUMBER(SEARCH("ReadyToVerify",Pipe_Main[Permit 2])),"RTV", ISNUMBER(SEARCH("Authori",Pipe_Main[Permit 2])),"Authorised", ISNUMBER(SEARCH("Active",Pipe_Main[Permit 2])),"Live", TRUE,  "???")),"")</f>
        <v/>
      </c>
      <c r="Y160" s="12" t="s">
        <v>762</v>
      </c>
      <c r="Z160" s="12" t="s">
        <v>762</v>
      </c>
      <c r="AA160" s="12" t="str">
        <f>IF(Pipe_Main[Permit 3 Link]&lt;&gt;"",HYPERLINK("http://ecow.ninja/ecow.html?p=" &amp;_xlfn.ENCODEURL( Pipe_Main[Permit 3 Link]),RIGHT(Pipe_Main[Permit 3 Link],6)  &amp; " "   &amp;  _xlfn.IFS( ISNUMBER(SEARCH("Verified",Pipe_Main[Permit 3])),"Verified", ISNUMBER(SEARCH("Approved",Pipe_Main[Permit 3])), "TRA", ISNUMBER(SEARCH("Clos",Pipe_Main[Permit 3])), "Closed",ISNUMBER(SEARCH("SuspendedForRevalidation",Pipe_Main[Permit 3])), "Suspended", ISNUMBER(SEARCH("Requesting",Pipe_Main[Permit 3])),"Draft", ISNUMBER(SEARCH("ReadyToVerify",Pipe_Main[Permit 3])),"RTV", ISNUMBER(SEARCH("Authori",Pipe_Main[Permit 3])),"Authorised", ISNUMBER(SEARCH("Active",Pipe_Main[Permit 3])),"Live", TRUE,  "???")),"")</f>
        <v/>
      </c>
      <c r="AB160" s="12" t="s">
        <v>762</v>
      </c>
      <c r="AC160" s="12" t="s">
        <v>762</v>
      </c>
      <c r="AD160" s="12" t="str">
        <f>IF(Pipe_Main[Permit 4 Link]&lt;&gt;"",HYPERLINK("http://ecow.ninja/ecow.html?p=" &amp;_xlfn.ENCODEURL( Pipe_Main[Permit 4 Link]),RIGHT(Pipe_Main[Permit 4 Link],6)  &amp; " "   &amp;  _xlfn.IFS( ISNUMBER(SEARCH("Verified",Pipe_Main[Permit 4])),"Verified", ISNUMBER(SEARCH("Approved",Pipe_Main[Permit 4])), "TRA", ISNUMBER(SEARCH("Clos",Pipe_Main[Permit 4])), "Closed",ISNUMBER(SEARCH("SuspendedForRevalidation",Pipe_Main[Permit 4])), "Suspended", ISNUMBER(SEARCH("Requesting",Pipe_Main[Permit 4])),"Draft", ISNUMBER(SEARCH("ReadyToVerify",Pipe_Main[Permit 4])),"RTV", ISNUMBER(SEARCH("Authori",Pipe_Main[Permit 4])),"Authorised", ISNUMBER(SEARCH("Active",Pipe_Main[Permit 4])),"Live", TRUE,  "???")),"")</f>
        <v/>
      </c>
      <c r="AE160" s="12" t="s">
        <v>762</v>
      </c>
      <c r="AF160" s="12" t="s">
        <v>762</v>
      </c>
      <c r="AG160" s="12" t="str">
        <f>IF(Pipe_Main[Permit 5 Link]&lt;&gt;"",HYPERLINK("http://ecow.ninja/ecow.html?p=" &amp;_xlfn.ENCODEURL( Pipe_Main[Permit 5 Link]),RIGHT(Pipe_Main[Permit 5 Link],6)  &amp; " "   &amp;  _xlfn.IFS( ISNUMBER(SEARCH("Verified",Pipe_Main[Permit 5])),"Verified", ISNUMBER(SEARCH("Approved",Pipe_Main[Permit 5])), "TRA", ISNUMBER(SEARCH("Clos",Pipe_Main[Permit 5])), "Closed",ISNUMBER(SEARCH("SuspendedForRevalidation",Pipe_Main[Permit 5])), "Suspended", ISNUMBER(SEARCH("Requesting",Pipe_Main[Permit 5])),"Draft", ISNUMBER(SEARCH("ReadyToVerify",Pipe_Main[Permit 5])),"RTV", ISNUMBER(SEARCH("Authori",Pipe_Main[Permit 5])),"Authorised", ISNUMBER(SEARCH("Active",Pipe_Main[Permit 5])),"Live", TRUE,  "???")),"")</f>
        <v/>
      </c>
      <c r="AH160" s="12" t="s">
        <v>762</v>
      </c>
      <c r="AI160" s="12" t="s">
        <v>762</v>
      </c>
      <c r="AJ160" s="12" t="str">
        <f>IF(Pipe_Main[Permit 6 Link]&lt;&gt;"",HYPERLINK("http://ecow.ninja/ecow.html?p=" &amp;_xlfn.ENCODEURL( Pipe_Main[Permit 6 Link]),RIGHT(Pipe_Main[Permit 6 Link],6)  &amp; " "   &amp;  _xlfn.IFS( ISNUMBER(SEARCH("Verified",Pipe_Main[Permit 6])),"Verified", ISNUMBER(SEARCH("Approved",Pipe_Main[Permit 6])), "TRA", ISNUMBER(SEARCH("Clos",Pipe_Main[Permit 6])), "Closed",ISNUMBER(SEARCH("SuspendedForRevalidation",Pipe_Main[Permit 6])), "Suspended", ISNUMBER(SEARCH("Requesting",Pipe_Main[Permit 6])),"Draft", ISNUMBER(SEARCH("ReadyToVerify",Pipe_Main[Permit 6])),"RTV", ISNUMBER(SEARCH("Authori",Pipe_Main[Permit 6])),"Authorised", ISNUMBER(SEARCH("Active",Pipe_Main[Permit 6])),"Live", TRUE,  "???")),"")</f>
        <v/>
      </c>
      <c r="AK160" s="12" t="s">
        <v>762</v>
      </c>
      <c r="AL160" s="12"/>
      <c r="AM160" s="12"/>
      <c r="AN160" s="12"/>
      <c r="AO160" s="12" t="s">
        <v>66</v>
      </c>
      <c r="AP160" s="12"/>
      <c r="AQ160" s="12" t="s">
        <v>42</v>
      </c>
      <c r="AR160" s="14"/>
      <c r="AS160" s="14"/>
      <c r="AT160" s="13">
        <v>43566</v>
      </c>
      <c r="AU160" s="14"/>
    </row>
    <row r="161" spans="21:30" x14ac:dyDescent="0.25">
      <c r="U161" s="9"/>
      <c r="X161" s="7"/>
      <c r="AA161" s="7"/>
      <c r="AD161" s="7"/>
    </row>
    <row r="162" spans="21:30" x14ac:dyDescent="0.25">
      <c r="U162" s="9"/>
      <c r="X162" s="7"/>
      <c r="AA162" s="7"/>
      <c r="AD162" s="7"/>
    </row>
    <row r="163" spans="21:30" x14ac:dyDescent="0.25">
      <c r="U163" s="9"/>
      <c r="X163" s="7"/>
      <c r="AA163" s="7"/>
      <c r="AD163" s="7"/>
    </row>
    <row r="164" spans="21:30" x14ac:dyDescent="0.25">
      <c r="U164" s="9"/>
      <c r="X164" s="7"/>
      <c r="AA164" s="7"/>
      <c r="AD164" s="7"/>
    </row>
    <row r="165" spans="21:30" x14ac:dyDescent="0.25">
      <c r="U165" s="9"/>
      <c r="X165" s="7"/>
      <c r="AA165" s="7"/>
      <c r="AD165" s="7"/>
    </row>
    <row r="166" spans="21:30" x14ac:dyDescent="0.25">
      <c r="U166" s="9"/>
      <c r="X166" s="7"/>
      <c r="AA166" s="7"/>
      <c r="AD166" s="7"/>
    </row>
    <row r="167" spans="21:30" x14ac:dyDescent="0.25">
      <c r="U167" s="9"/>
      <c r="X167" s="7"/>
      <c r="AA167" s="7"/>
      <c r="AD167" s="7"/>
    </row>
    <row r="168" spans="21:30" x14ac:dyDescent="0.25">
      <c r="U168" s="9"/>
      <c r="X168" s="7"/>
      <c r="AA168" s="7"/>
      <c r="AD168" s="7"/>
    </row>
    <row r="169" spans="21:30" x14ac:dyDescent="0.25">
      <c r="U169" s="9"/>
      <c r="X169" s="7"/>
      <c r="AA169" s="7"/>
      <c r="AD169" s="7"/>
    </row>
    <row r="170" spans="21:30" x14ac:dyDescent="0.25">
      <c r="U170" s="9"/>
      <c r="X170" s="7"/>
      <c r="AA170" s="7"/>
      <c r="AD170" s="7"/>
    </row>
    <row r="171" spans="21:30" x14ac:dyDescent="0.25">
      <c r="U171" s="9"/>
      <c r="X171" s="7"/>
      <c r="AA171" s="7"/>
      <c r="AD171" s="7"/>
    </row>
    <row r="172" spans="21:30" x14ac:dyDescent="0.25">
      <c r="U172" s="9"/>
      <c r="X172" s="7"/>
      <c r="AA172" s="7"/>
      <c r="AD172" s="7"/>
    </row>
    <row r="173" spans="21:30" x14ac:dyDescent="0.25">
      <c r="U173" s="9"/>
      <c r="X173" s="7"/>
      <c r="AA173" s="7"/>
      <c r="AD173" s="7"/>
    </row>
    <row r="174" spans="21:30" x14ac:dyDescent="0.25">
      <c r="U174" s="9"/>
      <c r="X174" s="7"/>
      <c r="AA174" s="7"/>
      <c r="AD174" s="7"/>
    </row>
    <row r="175" spans="21:30" x14ac:dyDescent="0.25">
      <c r="U175" s="9"/>
      <c r="X175" s="7"/>
      <c r="AA175" s="7"/>
      <c r="AD175" s="7"/>
    </row>
    <row r="176" spans="21:30" x14ac:dyDescent="0.25">
      <c r="U176" s="9"/>
      <c r="X176" s="7"/>
      <c r="AA176" s="7"/>
      <c r="AD176" s="7"/>
    </row>
    <row r="177" spans="21:30" x14ac:dyDescent="0.25">
      <c r="U177" s="9"/>
      <c r="X177" s="7"/>
      <c r="AA177" s="7"/>
      <c r="AD177" s="7"/>
    </row>
    <row r="178" spans="21:30" x14ac:dyDescent="0.25">
      <c r="U178" s="9"/>
      <c r="X178" s="7"/>
      <c r="AA178" s="7"/>
      <c r="AD178" s="7"/>
    </row>
    <row r="179" spans="21:30" x14ac:dyDescent="0.25">
      <c r="U179" s="9"/>
      <c r="X179" s="7"/>
      <c r="AA179" s="7"/>
      <c r="AD179" s="7"/>
    </row>
    <row r="180" spans="21:30" x14ac:dyDescent="0.25">
      <c r="U180" s="9"/>
      <c r="X180" s="7"/>
      <c r="AA180" s="7"/>
      <c r="AD180" s="7"/>
    </row>
    <row r="181" spans="21:30" x14ac:dyDescent="0.25">
      <c r="U181" s="9"/>
      <c r="X181" s="7"/>
      <c r="AA181" s="7"/>
      <c r="AD181" s="7"/>
    </row>
    <row r="182" spans="21:30" x14ac:dyDescent="0.25">
      <c r="U182" s="9"/>
      <c r="X182" s="7"/>
      <c r="AA182" s="7"/>
      <c r="AD182" s="7"/>
    </row>
    <row r="183" spans="21:30" x14ac:dyDescent="0.25">
      <c r="U183" s="9"/>
      <c r="X183" s="7"/>
      <c r="AA183" s="7"/>
      <c r="AD183" s="7"/>
    </row>
    <row r="184" spans="21:30" x14ac:dyDescent="0.25">
      <c r="U184" s="9"/>
      <c r="X184" s="7"/>
      <c r="AA184" s="7"/>
      <c r="AD184" s="7"/>
    </row>
    <row r="185" spans="21:30" x14ac:dyDescent="0.25">
      <c r="U185" s="9"/>
      <c r="X185" s="7"/>
      <c r="AA185" s="7"/>
      <c r="AD185" s="7"/>
    </row>
    <row r="186" spans="21:30" x14ac:dyDescent="0.25">
      <c r="U186" s="9"/>
      <c r="X186" s="7"/>
      <c r="AA186" s="7"/>
      <c r="AD186" s="7"/>
    </row>
    <row r="187" spans="21:30" x14ac:dyDescent="0.25">
      <c r="U187" s="9"/>
      <c r="X187" s="7"/>
      <c r="AA187" s="7"/>
      <c r="AD187" s="7"/>
    </row>
    <row r="188" spans="21:30" x14ac:dyDescent="0.25">
      <c r="U188" s="9"/>
      <c r="X188" s="7"/>
      <c r="AA188" s="7"/>
      <c r="AD188" s="7"/>
    </row>
    <row r="189" spans="21:30" x14ac:dyDescent="0.25">
      <c r="U189" s="9"/>
      <c r="X189" s="7"/>
      <c r="AA189" s="7"/>
      <c r="AD189" s="7"/>
    </row>
    <row r="190" spans="21:30" x14ac:dyDescent="0.25">
      <c r="U190" s="9"/>
      <c r="X190" s="7"/>
      <c r="AA190" s="7"/>
      <c r="AD190" s="7"/>
    </row>
    <row r="191" spans="21:30" x14ac:dyDescent="0.25">
      <c r="U191" s="9"/>
      <c r="X191" s="7"/>
      <c r="AA191" s="7"/>
      <c r="AD191" s="7"/>
    </row>
    <row r="192" spans="21:30" x14ac:dyDescent="0.25">
      <c r="U192" s="9"/>
      <c r="X192" s="7"/>
      <c r="AA192" s="7"/>
      <c r="AD192" s="7"/>
    </row>
    <row r="193" spans="21:30" x14ac:dyDescent="0.25">
      <c r="U193" s="9"/>
      <c r="X193" s="7"/>
      <c r="AA193" s="7"/>
      <c r="AD193" s="7"/>
    </row>
    <row r="194" spans="21:30" x14ac:dyDescent="0.25">
      <c r="U194" s="9"/>
      <c r="X194" s="7"/>
      <c r="AA194" s="7"/>
      <c r="AD194" s="7"/>
    </row>
    <row r="195" spans="21:30" x14ac:dyDescent="0.25">
      <c r="U195" s="9"/>
      <c r="X195" s="7"/>
      <c r="AA195" s="7"/>
      <c r="AD195" s="7"/>
    </row>
    <row r="196" spans="21:30" x14ac:dyDescent="0.25">
      <c r="U196" s="9"/>
      <c r="X196" s="7"/>
      <c r="AA196" s="7"/>
      <c r="AD196" s="7"/>
    </row>
    <row r="197" spans="21:30" x14ac:dyDescent="0.25">
      <c r="U197" s="9"/>
      <c r="X197" s="7"/>
      <c r="AA197" s="7"/>
      <c r="AD197" s="7"/>
    </row>
    <row r="198" spans="21:30" x14ac:dyDescent="0.25">
      <c r="U198" s="9"/>
      <c r="X198" s="7"/>
      <c r="AA198" s="7"/>
      <c r="AD198" s="7"/>
    </row>
    <row r="199" spans="21:30" x14ac:dyDescent="0.25">
      <c r="U199" s="9"/>
      <c r="X199" s="7"/>
      <c r="AA199" s="7"/>
      <c r="AD199" s="7"/>
    </row>
    <row r="200" spans="21:30" x14ac:dyDescent="0.25">
      <c r="U200" s="9"/>
      <c r="X200" s="7"/>
      <c r="AA200" s="7"/>
      <c r="AD200" s="7"/>
    </row>
    <row r="201" spans="21:30" x14ac:dyDescent="0.25">
      <c r="U201" s="9"/>
      <c r="X201" s="7"/>
      <c r="AA201" s="7"/>
      <c r="AD201" s="7"/>
    </row>
    <row r="202" spans="21:30" x14ac:dyDescent="0.25">
      <c r="U202" s="9"/>
      <c r="X202" s="7"/>
      <c r="AA202" s="7"/>
      <c r="AD202" s="7"/>
    </row>
    <row r="203" spans="21:30" x14ac:dyDescent="0.25">
      <c r="U203" s="9"/>
      <c r="X203" s="7"/>
      <c r="AA203" s="7"/>
      <c r="AD203" s="7"/>
    </row>
    <row r="204" spans="21:30" x14ac:dyDescent="0.25">
      <c r="U204" s="9"/>
      <c r="X204" s="7"/>
      <c r="AA204" s="7"/>
      <c r="AD204" s="7"/>
    </row>
    <row r="205" spans="21:30" x14ac:dyDescent="0.25">
      <c r="U205" s="9"/>
      <c r="X205" s="7"/>
      <c r="AA205" s="7"/>
      <c r="AD205" s="7"/>
    </row>
    <row r="206" spans="21:30" x14ac:dyDescent="0.25">
      <c r="U206" s="9"/>
      <c r="X206" s="7"/>
      <c r="AA206" s="7"/>
      <c r="AD206" s="7"/>
    </row>
    <row r="207" spans="21:30" x14ac:dyDescent="0.25">
      <c r="U207" s="9"/>
      <c r="X207" s="7"/>
      <c r="AA207" s="7"/>
      <c r="AD207" s="7"/>
    </row>
    <row r="208" spans="21:30" x14ac:dyDescent="0.25">
      <c r="U208" s="9"/>
      <c r="X208" s="7"/>
      <c r="AA208" s="7"/>
      <c r="AD208" s="7"/>
    </row>
    <row r="209" spans="21:30" x14ac:dyDescent="0.25">
      <c r="U209" s="9"/>
      <c r="X209" s="7"/>
      <c r="AA209" s="7"/>
      <c r="AD209" s="7"/>
    </row>
    <row r="210" spans="21:30" x14ac:dyDescent="0.25">
      <c r="U210" s="9"/>
      <c r="X210" s="7"/>
      <c r="AA210" s="7"/>
      <c r="AD210" s="7"/>
    </row>
    <row r="211" spans="21:30" x14ac:dyDescent="0.25">
      <c r="U211" s="9"/>
      <c r="X211" s="7"/>
      <c r="AA211" s="7"/>
      <c r="AD211" s="7"/>
    </row>
    <row r="212" spans="21:30" x14ac:dyDescent="0.25">
      <c r="U212" s="9"/>
      <c r="X212" s="7"/>
      <c r="AA212" s="7"/>
      <c r="AD212" s="7"/>
    </row>
    <row r="213" spans="21:30" x14ac:dyDescent="0.25">
      <c r="U213" s="9"/>
      <c r="X213" s="7"/>
      <c r="AA213" s="7"/>
      <c r="AD213" s="7"/>
    </row>
    <row r="214" spans="21:30" x14ac:dyDescent="0.25">
      <c r="U214" s="9"/>
      <c r="X214" s="7"/>
      <c r="AA214" s="7"/>
      <c r="AD214" s="7"/>
    </row>
    <row r="215" spans="21:30" x14ac:dyDescent="0.25">
      <c r="U215" s="9"/>
      <c r="X215" s="7"/>
      <c r="AA215" s="7"/>
      <c r="AD215" s="7"/>
    </row>
    <row r="216" spans="21:30" x14ac:dyDescent="0.25">
      <c r="U216" s="9"/>
      <c r="X216" s="7"/>
      <c r="AA216" s="7"/>
      <c r="AD216" s="7"/>
    </row>
    <row r="217" spans="21:30" x14ac:dyDescent="0.25">
      <c r="U217" s="9"/>
      <c r="X217" s="7"/>
      <c r="AA217" s="7"/>
      <c r="AD217" s="7"/>
    </row>
    <row r="218" spans="21:30" x14ac:dyDescent="0.25">
      <c r="U218" s="9"/>
      <c r="X218" s="7"/>
      <c r="AA218" s="7"/>
      <c r="AD218" s="7"/>
    </row>
    <row r="219" spans="21:30" x14ac:dyDescent="0.25">
      <c r="U219" s="9"/>
      <c r="X219" s="7"/>
      <c r="AA219" s="7"/>
      <c r="AD219" s="7"/>
    </row>
    <row r="220" spans="21:30" x14ac:dyDescent="0.25">
      <c r="U220" s="9"/>
      <c r="X220" s="7"/>
      <c r="AA220" s="7"/>
      <c r="AD220" s="7"/>
    </row>
    <row r="221" spans="21:30" x14ac:dyDescent="0.25">
      <c r="U221" s="9"/>
      <c r="X221" s="7"/>
      <c r="AA221" s="7"/>
      <c r="AD221" s="7"/>
    </row>
    <row r="222" spans="21:30" x14ac:dyDescent="0.25">
      <c r="U222" s="9"/>
      <c r="X222" s="7"/>
      <c r="AA222" s="7"/>
      <c r="AD222" s="7"/>
    </row>
    <row r="223" spans="21:30" x14ac:dyDescent="0.25">
      <c r="U223" s="9"/>
      <c r="X223" s="7"/>
      <c r="AA223" s="7"/>
      <c r="AD223" s="7"/>
    </row>
    <row r="224" spans="21:30" x14ac:dyDescent="0.25">
      <c r="U224" s="9"/>
      <c r="X224" s="7"/>
      <c r="AA224" s="7"/>
      <c r="AD224" s="7"/>
    </row>
    <row r="225" spans="21:30" x14ac:dyDescent="0.25">
      <c r="U225" s="9"/>
      <c r="X225" s="7"/>
      <c r="AA225" s="7"/>
      <c r="AD225" s="7"/>
    </row>
    <row r="226" spans="21:30" x14ac:dyDescent="0.25">
      <c r="U226" s="9"/>
      <c r="X226" s="7"/>
      <c r="AA226" s="7"/>
      <c r="AD226" s="7"/>
    </row>
    <row r="227" spans="21:30" x14ac:dyDescent="0.25">
      <c r="U227" s="9"/>
      <c r="X227" s="7"/>
      <c r="AA227" s="7"/>
      <c r="AD227" s="7"/>
    </row>
    <row r="228" spans="21:30" x14ac:dyDescent="0.25">
      <c r="U228" s="9"/>
      <c r="X228" s="7"/>
      <c r="AA228" s="7"/>
      <c r="AD228" s="7"/>
    </row>
    <row r="229" spans="21:30" x14ac:dyDescent="0.25">
      <c r="U229" s="9"/>
      <c r="X229" s="7"/>
      <c r="AA229" s="7"/>
      <c r="AD229" s="7"/>
    </row>
    <row r="230" spans="21:30" x14ac:dyDescent="0.25">
      <c r="U230" s="9"/>
      <c r="X230" s="7"/>
      <c r="AA230" s="7"/>
      <c r="AD230" s="7"/>
    </row>
    <row r="231" spans="21:30" x14ac:dyDescent="0.25">
      <c r="U231" s="9"/>
      <c r="X231" s="7"/>
      <c r="AA231" s="7"/>
      <c r="AD231" s="7"/>
    </row>
    <row r="232" spans="21:30" x14ac:dyDescent="0.25">
      <c r="U232" s="9"/>
      <c r="X232" s="7"/>
      <c r="AA232" s="7"/>
      <c r="AD232" s="7"/>
    </row>
    <row r="233" spans="21:30" x14ac:dyDescent="0.25">
      <c r="U233" s="9"/>
      <c r="X233" s="7"/>
      <c r="AA233" s="7"/>
      <c r="AD233" s="7"/>
    </row>
    <row r="234" spans="21:30" x14ac:dyDescent="0.25">
      <c r="U234" s="9"/>
      <c r="X234" s="7"/>
      <c r="AA234" s="7"/>
      <c r="AD234" s="7"/>
    </row>
    <row r="235" spans="21:30" x14ac:dyDescent="0.25">
      <c r="U235" s="9"/>
      <c r="X235" s="7"/>
      <c r="AA235" s="7"/>
      <c r="AD235" s="7"/>
    </row>
    <row r="236" spans="21:30" x14ac:dyDescent="0.25">
      <c r="U236" s="9"/>
      <c r="X236" s="7"/>
      <c r="AA236" s="7"/>
      <c r="AD236" s="7"/>
    </row>
    <row r="237" spans="21:30" x14ac:dyDescent="0.25">
      <c r="U237" s="9"/>
      <c r="X237" s="7"/>
      <c r="AA237" s="7"/>
      <c r="AD237" s="7"/>
    </row>
    <row r="238" spans="21:30" x14ac:dyDescent="0.25">
      <c r="U238" s="9"/>
      <c r="X238" s="7"/>
      <c r="AA238" s="7"/>
      <c r="AD238" s="7"/>
    </row>
    <row r="239" spans="21:30" x14ac:dyDescent="0.25">
      <c r="U239" s="9"/>
      <c r="X239" s="7"/>
      <c r="AA239" s="7"/>
      <c r="AD239" s="7"/>
    </row>
    <row r="240" spans="21:30" x14ac:dyDescent="0.25">
      <c r="U240" s="9"/>
      <c r="X240" s="7"/>
      <c r="AA240" s="7"/>
      <c r="AD240" s="7"/>
    </row>
    <row r="241" spans="21:30" x14ac:dyDescent="0.25">
      <c r="U241" s="9"/>
      <c r="X241" s="7"/>
      <c r="AA241" s="7"/>
      <c r="AD241" s="7"/>
    </row>
    <row r="242" spans="21:30" x14ac:dyDescent="0.25">
      <c r="U242" s="9"/>
      <c r="X242" s="7"/>
      <c r="AA242" s="7"/>
      <c r="AD242" s="7"/>
    </row>
    <row r="243" spans="21:30" x14ac:dyDescent="0.25">
      <c r="U243" s="9"/>
      <c r="X243" s="7"/>
      <c r="AA243" s="7"/>
      <c r="AD243" s="7"/>
    </row>
    <row r="244" spans="21:30" x14ac:dyDescent="0.25">
      <c r="U244" s="9"/>
      <c r="X244" s="7"/>
      <c r="AA244" s="7"/>
      <c r="AD244" s="7"/>
    </row>
    <row r="245" spans="21:30" x14ac:dyDescent="0.25">
      <c r="U245" s="9"/>
      <c r="X245" s="7"/>
      <c r="AA245" s="7"/>
      <c r="AD245" s="7"/>
    </row>
    <row r="246" spans="21:30" x14ac:dyDescent="0.25">
      <c r="U246" s="9"/>
      <c r="X246" s="7"/>
      <c r="AA246" s="7"/>
      <c r="AD246" s="7"/>
    </row>
    <row r="247" spans="21:30" x14ac:dyDescent="0.25">
      <c r="U247" s="9"/>
      <c r="X247" s="7"/>
      <c r="AA247" s="7"/>
      <c r="AD247" s="7"/>
    </row>
    <row r="248" spans="21:30" x14ac:dyDescent="0.25">
      <c r="U248" s="9"/>
      <c r="X248" s="7"/>
      <c r="AA248" s="7"/>
      <c r="AD248" s="7"/>
    </row>
    <row r="249" spans="21:30" x14ac:dyDescent="0.25">
      <c r="U249" s="9"/>
      <c r="X249" s="7"/>
      <c r="AA249" s="7"/>
      <c r="AD249" s="7"/>
    </row>
    <row r="250" spans="21:30" x14ac:dyDescent="0.25">
      <c r="U250" s="9"/>
      <c r="X250" s="7"/>
      <c r="AA250" s="7"/>
      <c r="AD250" s="7"/>
    </row>
    <row r="251" spans="21:30" x14ac:dyDescent="0.25">
      <c r="U251" s="9"/>
      <c r="X251" s="7"/>
      <c r="AA251" s="7"/>
      <c r="AD251" s="7"/>
    </row>
    <row r="252" spans="21:30" x14ac:dyDescent="0.25">
      <c r="U252" s="9"/>
      <c r="X252" s="7"/>
      <c r="AA252" s="7"/>
      <c r="AD252" s="7"/>
    </row>
    <row r="253" spans="21:30" x14ac:dyDescent="0.25">
      <c r="U253" s="9"/>
      <c r="X253" s="7"/>
      <c r="AA253" s="7"/>
      <c r="AD253" s="7"/>
    </row>
    <row r="254" spans="21:30" x14ac:dyDescent="0.25">
      <c r="U254" s="9"/>
      <c r="X254" s="7"/>
      <c r="AA254" s="7"/>
      <c r="AD254" s="7"/>
    </row>
    <row r="255" spans="21:30" x14ac:dyDescent="0.25">
      <c r="U255" s="9"/>
      <c r="X255" s="7"/>
      <c r="AA255" s="7"/>
      <c r="AD255" s="7"/>
    </row>
    <row r="256" spans="21:30" x14ac:dyDescent="0.25">
      <c r="U256" s="9"/>
      <c r="X256" s="7"/>
      <c r="AA256" s="7"/>
      <c r="AD256" s="7"/>
    </row>
    <row r="257" spans="21:30" x14ac:dyDescent="0.25">
      <c r="U257" s="9"/>
      <c r="X257" s="7"/>
      <c r="AA257" s="7"/>
      <c r="AD257" s="7"/>
    </row>
    <row r="258" spans="21:30" x14ac:dyDescent="0.25">
      <c r="U258" s="9"/>
      <c r="X258" s="7"/>
      <c r="AA258" s="7"/>
      <c r="AD258" s="7"/>
    </row>
    <row r="259" spans="21:30" x14ac:dyDescent="0.25">
      <c r="U259" s="9"/>
      <c r="X259" s="7"/>
      <c r="AA259" s="7"/>
      <c r="AD259" s="7"/>
    </row>
    <row r="260" spans="21:30" x14ac:dyDescent="0.25">
      <c r="U260" s="9"/>
      <c r="X260" s="7"/>
      <c r="AA260" s="7"/>
      <c r="AD260" s="7"/>
    </row>
    <row r="261" spans="21:30" x14ac:dyDescent="0.25">
      <c r="U261" s="9"/>
      <c r="X261" s="7"/>
      <c r="AA261" s="7"/>
      <c r="AD261" s="7"/>
    </row>
    <row r="262" spans="21:30" x14ac:dyDescent="0.25">
      <c r="U262" s="9"/>
      <c r="X262" s="7"/>
      <c r="AA262" s="7"/>
      <c r="AD262" s="7"/>
    </row>
    <row r="263" spans="21:30" x14ac:dyDescent="0.25">
      <c r="U263" s="9"/>
      <c r="X263" s="7"/>
      <c r="AA263" s="7"/>
      <c r="AD263" s="7"/>
    </row>
    <row r="264" spans="21:30" x14ac:dyDescent="0.25">
      <c r="U264" s="9"/>
      <c r="X264" s="7"/>
      <c r="AA264" s="7"/>
      <c r="AD264" s="7"/>
    </row>
    <row r="265" spans="21:30" x14ac:dyDescent="0.25">
      <c r="U265" s="9"/>
      <c r="X265" s="7"/>
      <c r="AA265" s="7"/>
      <c r="AD265" s="7"/>
    </row>
    <row r="266" spans="21:30" x14ac:dyDescent="0.25">
      <c r="U266" s="9"/>
      <c r="X266" s="7"/>
      <c r="AA266" s="7"/>
      <c r="AD266" s="7"/>
    </row>
    <row r="267" spans="21:30" x14ac:dyDescent="0.25">
      <c r="U267" s="9"/>
      <c r="X267" s="7"/>
      <c r="AA267" s="7"/>
      <c r="AD267" s="7"/>
    </row>
    <row r="268" spans="21:30" x14ac:dyDescent="0.25">
      <c r="U268" s="9"/>
      <c r="X268" s="7"/>
      <c r="AA268" s="7"/>
      <c r="AD268" s="7"/>
    </row>
    <row r="269" spans="21:30" x14ac:dyDescent="0.25">
      <c r="U269" s="9"/>
      <c r="X269" s="7"/>
      <c r="AA269" s="7"/>
      <c r="AD269" s="7"/>
    </row>
    <row r="270" spans="21:30" x14ac:dyDescent="0.25">
      <c r="U270" s="9"/>
      <c r="X270" s="7"/>
      <c r="AA270" s="7"/>
      <c r="AD270" s="7"/>
    </row>
    <row r="271" spans="21:30" x14ac:dyDescent="0.25">
      <c r="U271" s="9"/>
      <c r="X271" s="7"/>
      <c r="AA271" s="7"/>
      <c r="AD271" s="7"/>
    </row>
    <row r="272" spans="21:30" x14ac:dyDescent="0.25">
      <c r="U272" s="9"/>
      <c r="X272" s="7"/>
      <c r="AA272" s="7"/>
      <c r="AD272" s="7"/>
    </row>
    <row r="273" spans="21:30" x14ac:dyDescent="0.25">
      <c r="U273" s="9"/>
      <c r="X273" s="7"/>
      <c r="AA273" s="7"/>
      <c r="AD273" s="7"/>
    </row>
    <row r="274" spans="21:30" x14ac:dyDescent="0.25">
      <c r="U274" s="9"/>
      <c r="X274" s="7"/>
      <c r="AA274" s="7"/>
      <c r="AD274" s="7"/>
    </row>
    <row r="275" spans="21:30" x14ac:dyDescent="0.25">
      <c r="U275" s="9"/>
      <c r="X275" s="7"/>
      <c r="AA275" s="7"/>
      <c r="AD275" s="7"/>
    </row>
    <row r="276" spans="21:30" x14ac:dyDescent="0.25">
      <c r="U276" s="9"/>
      <c r="X276" s="7"/>
      <c r="AA276" s="7"/>
      <c r="AD276" s="7"/>
    </row>
    <row r="277" spans="21:30" x14ac:dyDescent="0.25">
      <c r="U277" s="9"/>
      <c r="X277" s="7"/>
      <c r="AA277" s="7"/>
      <c r="AD277" s="7"/>
    </row>
    <row r="278" spans="21:30" x14ac:dyDescent="0.25">
      <c r="U278" s="9"/>
      <c r="X278" s="7"/>
      <c r="AA278" s="7"/>
      <c r="AD278" s="7"/>
    </row>
    <row r="279" spans="21:30" x14ac:dyDescent="0.25">
      <c r="U279" s="9"/>
      <c r="X279" s="7"/>
      <c r="AA279" s="7"/>
      <c r="AD279" s="7"/>
    </row>
    <row r="280" spans="21:30" x14ac:dyDescent="0.25">
      <c r="U280" s="9"/>
      <c r="X280" s="7"/>
      <c r="AA280" s="7"/>
      <c r="AD280" s="7"/>
    </row>
    <row r="281" spans="21:30" x14ac:dyDescent="0.25">
      <c r="U281" s="9"/>
      <c r="X281" s="7"/>
      <c r="AA281" s="7"/>
      <c r="AD281" s="7"/>
    </row>
    <row r="282" spans="21:30" x14ac:dyDescent="0.25">
      <c r="U282" s="9"/>
      <c r="X282" s="7"/>
      <c r="AA282" s="7"/>
      <c r="AD282" s="7"/>
    </row>
    <row r="283" spans="21:30" x14ac:dyDescent="0.25">
      <c r="U283" s="9"/>
      <c r="X283" s="7"/>
      <c r="AA283" s="7"/>
      <c r="AD283" s="7"/>
    </row>
    <row r="284" spans="21:30" x14ac:dyDescent="0.25">
      <c r="U284" s="9"/>
      <c r="X284" s="7"/>
      <c r="AA284" s="7"/>
      <c r="AD284" s="7"/>
    </row>
    <row r="285" spans="21:30" x14ac:dyDescent="0.25">
      <c r="U285" s="9"/>
      <c r="X285" s="7"/>
      <c r="AA285" s="7"/>
      <c r="AD285" s="7"/>
    </row>
    <row r="286" spans="21:30" x14ac:dyDescent="0.25">
      <c r="U286" s="9"/>
      <c r="X286" s="7"/>
      <c r="AA286" s="7"/>
      <c r="AD286" s="7"/>
    </row>
    <row r="287" spans="21:30" x14ac:dyDescent="0.25">
      <c r="U287" s="9"/>
      <c r="X287" s="7"/>
      <c r="AA287" s="7"/>
      <c r="AD287" s="7"/>
    </row>
    <row r="288" spans="21:30" x14ac:dyDescent="0.25">
      <c r="U288" s="9"/>
      <c r="X288" s="7"/>
      <c r="AA288" s="7"/>
      <c r="AD288" s="7"/>
    </row>
    <row r="289" spans="21:30" x14ac:dyDescent="0.25">
      <c r="U289" s="9"/>
      <c r="X289" s="7"/>
      <c r="AA289" s="7"/>
      <c r="AD289" s="7"/>
    </row>
    <row r="290" spans="21:30" x14ac:dyDescent="0.25">
      <c r="U290" s="9"/>
      <c r="X290" s="7"/>
      <c r="AA290" s="7"/>
      <c r="AD290" s="7"/>
    </row>
    <row r="291" spans="21:30" x14ac:dyDescent="0.25">
      <c r="U291" s="9"/>
      <c r="X291" s="7"/>
      <c r="AA291" s="7"/>
      <c r="AD291" s="7"/>
    </row>
    <row r="292" spans="21:30" x14ac:dyDescent="0.25">
      <c r="U292" s="9"/>
      <c r="X292" s="7"/>
      <c r="AA292" s="7"/>
      <c r="AD292" s="7"/>
    </row>
    <row r="293" spans="21:30" x14ac:dyDescent="0.25">
      <c r="U293" s="9"/>
      <c r="X293" s="7"/>
      <c r="AA293" s="7"/>
      <c r="AD293" s="7"/>
    </row>
    <row r="294" spans="21:30" x14ac:dyDescent="0.25">
      <c r="U294" s="9"/>
      <c r="X294" s="7"/>
      <c r="AA294" s="7"/>
      <c r="AD294" s="7"/>
    </row>
    <row r="295" spans="21:30" x14ac:dyDescent="0.25">
      <c r="U295" s="9"/>
      <c r="X295" s="7"/>
      <c r="AA295" s="7"/>
      <c r="AD295" s="7"/>
    </row>
    <row r="296" spans="21:30" x14ac:dyDescent="0.25">
      <c r="U296" s="9"/>
      <c r="X296" s="7"/>
      <c r="AA296" s="7"/>
      <c r="AD296" s="7"/>
    </row>
    <row r="297" spans="21:30" x14ac:dyDescent="0.25">
      <c r="U297" s="9"/>
      <c r="X297" s="7"/>
      <c r="AA297" s="7"/>
      <c r="AD297" s="7"/>
    </row>
    <row r="298" spans="21:30" x14ac:dyDescent="0.25">
      <c r="U298" s="9"/>
      <c r="X298" s="7"/>
      <c r="AA298" s="7"/>
      <c r="AD298" s="7"/>
    </row>
    <row r="299" spans="21:30" x14ac:dyDescent="0.25">
      <c r="U299" s="9"/>
      <c r="X299" s="7"/>
      <c r="AA299" s="7"/>
      <c r="AD299" s="7"/>
    </row>
    <row r="300" spans="21:30" x14ac:dyDescent="0.25">
      <c r="U300" s="9"/>
      <c r="X300" s="7"/>
      <c r="AA300" s="7"/>
      <c r="AD300" s="7"/>
    </row>
    <row r="301" spans="21:30" x14ac:dyDescent="0.25">
      <c r="U301" s="9"/>
      <c r="X301" s="7"/>
      <c r="AA301" s="7"/>
      <c r="AD301" s="7"/>
    </row>
    <row r="302" spans="21:30" x14ac:dyDescent="0.25">
      <c r="U302" s="9"/>
      <c r="X302" s="7"/>
      <c r="AA302" s="7"/>
      <c r="AD302" s="7"/>
    </row>
    <row r="303" spans="21:30" x14ac:dyDescent="0.25">
      <c r="U303" s="9"/>
      <c r="X303" s="7"/>
      <c r="AA303" s="7"/>
      <c r="AD303" s="7"/>
    </row>
    <row r="304" spans="21:30" x14ac:dyDescent="0.25">
      <c r="U304" s="9"/>
      <c r="X304" s="7"/>
      <c r="AA304" s="7"/>
      <c r="AD304" s="7"/>
    </row>
    <row r="305" spans="21:30" x14ac:dyDescent="0.25">
      <c r="U305" s="9"/>
      <c r="X305" s="7"/>
      <c r="AA305" s="7"/>
      <c r="AD305" s="7"/>
    </row>
    <row r="306" spans="21:30" x14ac:dyDescent="0.25">
      <c r="U306" s="9"/>
      <c r="X306" s="7"/>
      <c r="AA306" s="7"/>
      <c r="AD306" s="7"/>
    </row>
    <row r="307" spans="21:30" x14ac:dyDescent="0.25">
      <c r="U307" s="9"/>
      <c r="X307" s="7"/>
      <c r="AA307" s="7"/>
      <c r="AD307" s="7"/>
    </row>
    <row r="308" spans="21:30" x14ac:dyDescent="0.25">
      <c r="U308" s="9"/>
      <c r="X308" s="7"/>
      <c r="AA308" s="7"/>
      <c r="AD308" s="7"/>
    </row>
    <row r="309" spans="21:30" x14ac:dyDescent="0.25">
      <c r="U309" s="9"/>
      <c r="X309" s="7"/>
      <c r="AA309" s="7"/>
      <c r="AD309" s="7"/>
    </row>
    <row r="310" spans="21:30" x14ac:dyDescent="0.25">
      <c r="U310" s="9"/>
      <c r="X310" s="7"/>
      <c r="AA310" s="7"/>
      <c r="AD310" s="7"/>
    </row>
    <row r="311" spans="21:30" x14ac:dyDescent="0.25">
      <c r="U311" s="9"/>
      <c r="X311" s="7"/>
      <c r="AA311" s="7"/>
      <c r="AD311" s="7"/>
    </row>
    <row r="312" spans="21:30" x14ac:dyDescent="0.25">
      <c r="U312" s="9"/>
      <c r="X312" s="7"/>
      <c r="AA312" s="7"/>
      <c r="AD312" s="7"/>
    </row>
    <row r="313" spans="21:30" x14ac:dyDescent="0.25">
      <c r="U313" s="9"/>
      <c r="X313" s="7"/>
      <c r="AA313" s="7"/>
      <c r="AD313" s="7"/>
    </row>
    <row r="314" spans="21:30" x14ac:dyDescent="0.25">
      <c r="U314" s="9"/>
      <c r="X314" s="7"/>
      <c r="AA314" s="7"/>
      <c r="AD314" s="7"/>
    </row>
    <row r="315" spans="21:30" x14ac:dyDescent="0.25">
      <c r="U315" s="9"/>
      <c r="X315" s="7"/>
      <c r="AA315" s="7"/>
      <c r="AD315" s="7"/>
    </row>
    <row r="316" spans="21:30" x14ac:dyDescent="0.25">
      <c r="U316" s="9"/>
      <c r="X316" s="7"/>
      <c r="AA316" s="7"/>
      <c r="AD316" s="7"/>
    </row>
    <row r="317" spans="21:30" x14ac:dyDescent="0.25">
      <c r="U317" s="9"/>
      <c r="X317" s="7"/>
      <c r="AA317" s="7"/>
      <c r="AD317" s="7"/>
    </row>
    <row r="318" spans="21:30" x14ac:dyDescent="0.25">
      <c r="U318" s="9"/>
      <c r="X318" s="7"/>
      <c r="AA318" s="7"/>
      <c r="AD318" s="7"/>
    </row>
    <row r="319" spans="21:30" x14ac:dyDescent="0.25">
      <c r="U319" s="9"/>
      <c r="X319" s="7"/>
      <c r="AA319" s="7"/>
      <c r="AD319" s="7"/>
    </row>
    <row r="320" spans="21:30" x14ac:dyDescent="0.25">
      <c r="U320" s="9"/>
      <c r="X320" s="7"/>
      <c r="AA320" s="7"/>
      <c r="AD320" s="7"/>
    </row>
    <row r="321" spans="21:30" x14ac:dyDescent="0.25">
      <c r="U321" s="9"/>
      <c r="X321" s="7"/>
      <c r="AA321" s="7"/>
      <c r="AD321" s="7"/>
    </row>
    <row r="322" spans="21:30" x14ac:dyDescent="0.25">
      <c r="U322" s="9"/>
      <c r="X322" s="7"/>
      <c r="AA322" s="7"/>
      <c r="AD322" s="7"/>
    </row>
    <row r="323" spans="21:30" x14ac:dyDescent="0.25">
      <c r="U323" s="9"/>
      <c r="X323" s="7"/>
      <c r="AA323" s="7"/>
      <c r="AD323" s="7"/>
    </row>
    <row r="324" spans="21:30" x14ac:dyDescent="0.25">
      <c r="U324" s="9"/>
      <c r="X324" s="7"/>
      <c r="AA324" s="7"/>
      <c r="AD324" s="7"/>
    </row>
    <row r="325" spans="21:30" x14ac:dyDescent="0.25">
      <c r="U325" s="9"/>
      <c r="X325" s="7"/>
      <c r="AA325" s="7"/>
      <c r="AD325" s="7"/>
    </row>
    <row r="326" spans="21:30" x14ac:dyDescent="0.25">
      <c r="U326" s="9"/>
      <c r="X326" s="7"/>
      <c r="AA326" s="7"/>
      <c r="AD326" s="7"/>
    </row>
    <row r="327" spans="21:30" x14ac:dyDescent="0.25">
      <c r="U327" s="9"/>
      <c r="X327" s="7"/>
      <c r="AA327" s="7"/>
      <c r="AD327" s="7"/>
    </row>
    <row r="328" spans="21:30" x14ac:dyDescent="0.25">
      <c r="U328" s="9"/>
      <c r="X328" s="7"/>
      <c r="AA328" s="7"/>
      <c r="AD328" s="7"/>
    </row>
    <row r="329" spans="21:30" x14ac:dyDescent="0.25">
      <c r="U329" s="9"/>
      <c r="X329" s="7"/>
      <c r="AA329" s="7"/>
      <c r="AD329" s="7"/>
    </row>
    <row r="330" spans="21:30" x14ac:dyDescent="0.25">
      <c r="U330" s="9"/>
      <c r="X330" s="7"/>
      <c r="AA330" s="7"/>
      <c r="AD330" s="7"/>
    </row>
    <row r="331" spans="21:30" x14ac:dyDescent="0.25">
      <c r="U331" s="9"/>
      <c r="X331" s="7"/>
      <c r="AA331" s="7"/>
      <c r="AD331" s="7"/>
    </row>
    <row r="332" spans="21:30" x14ac:dyDescent="0.25">
      <c r="U332" s="9"/>
      <c r="X332" s="7"/>
      <c r="AA332" s="7"/>
      <c r="AD332" s="7"/>
    </row>
    <row r="333" spans="21:30" x14ac:dyDescent="0.25">
      <c r="U333" s="9"/>
      <c r="X333" s="7"/>
      <c r="AA333" s="7"/>
      <c r="AD333" s="7"/>
    </row>
    <row r="334" spans="21:30" x14ac:dyDescent="0.25">
      <c r="U334" s="9"/>
      <c r="X334" s="7"/>
      <c r="AA334" s="7"/>
      <c r="AD334" s="7"/>
    </row>
    <row r="335" spans="21:30" x14ac:dyDescent="0.25">
      <c r="U335" s="9"/>
      <c r="X335" s="7"/>
      <c r="AA335" s="7"/>
      <c r="AD335" s="7"/>
    </row>
    <row r="336" spans="21:30" x14ac:dyDescent="0.25">
      <c r="U336" s="9"/>
      <c r="X336" s="7"/>
      <c r="AA336" s="7"/>
      <c r="AD336" s="7"/>
    </row>
    <row r="337" spans="21:30" x14ac:dyDescent="0.25">
      <c r="U337" s="9"/>
      <c r="X337" s="7"/>
      <c r="AA337" s="7"/>
      <c r="AD337" s="7"/>
    </row>
    <row r="338" spans="21:30" x14ac:dyDescent="0.25">
      <c r="U338" s="9"/>
      <c r="X338" s="7"/>
      <c r="AA338" s="7"/>
      <c r="AD338" s="7"/>
    </row>
    <row r="339" spans="21:30" x14ac:dyDescent="0.25">
      <c r="U339" s="9"/>
      <c r="X339" s="7"/>
      <c r="AA339" s="7"/>
      <c r="AD339" s="7"/>
    </row>
    <row r="340" spans="21:30" x14ac:dyDescent="0.25">
      <c r="U340" s="9"/>
      <c r="X340" s="7"/>
      <c r="AA340" s="7"/>
      <c r="AD340" s="7"/>
    </row>
    <row r="341" spans="21:30" x14ac:dyDescent="0.25">
      <c r="U341" s="9"/>
      <c r="X341" s="7"/>
      <c r="AA341" s="7"/>
      <c r="AD341" s="7"/>
    </row>
    <row r="342" spans="21:30" x14ac:dyDescent="0.25">
      <c r="U342" s="9"/>
      <c r="X342" s="7"/>
      <c r="AA342" s="7"/>
      <c r="AD342" s="7"/>
    </row>
    <row r="343" spans="21:30" x14ac:dyDescent="0.25">
      <c r="U343" s="9"/>
      <c r="X343" s="7"/>
      <c r="AA343" s="7"/>
      <c r="AD343" s="7"/>
    </row>
    <row r="344" spans="21:30" x14ac:dyDescent="0.25">
      <c r="U344" s="9"/>
      <c r="X344" s="7"/>
      <c r="AA344" s="7"/>
      <c r="AD344" s="7"/>
    </row>
    <row r="345" spans="21:30" x14ac:dyDescent="0.25">
      <c r="U345" s="9"/>
      <c r="X345" s="7"/>
      <c r="AA345" s="7"/>
      <c r="AD345" s="7"/>
    </row>
    <row r="346" spans="21:30" x14ac:dyDescent="0.25">
      <c r="U346" s="9"/>
      <c r="X346" s="7"/>
      <c r="AA346" s="7"/>
      <c r="AD346" s="7"/>
    </row>
    <row r="347" spans="21:30" x14ac:dyDescent="0.25">
      <c r="U347" s="9"/>
      <c r="X347" s="7"/>
      <c r="AA347" s="7"/>
      <c r="AD347" s="7"/>
    </row>
    <row r="348" spans="21:30" x14ac:dyDescent="0.25">
      <c r="U348" s="9"/>
      <c r="X348" s="7"/>
      <c r="AA348" s="7"/>
      <c r="AD348" s="7"/>
    </row>
    <row r="349" spans="21:30" x14ac:dyDescent="0.25">
      <c r="U349" s="9"/>
      <c r="X349" s="7"/>
      <c r="AA349" s="7"/>
      <c r="AD349" s="7"/>
    </row>
    <row r="350" spans="21:30" x14ac:dyDescent="0.25">
      <c r="U350" s="9"/>
      <c r="X350" s="7"/>
      <c r="AA350" s="7"/>
      <c r="AD350" s="7"/>
    </row>
    <row r="351" spans="21:30" x14ac:dyDescent="0.25">
      <c r="U351" s="9"/>
      <c r="X351" s="7"/>
      <c r="AA351" s="7"/>
      <c r="AD351" s="7"/>
    </row>
    <row r="352" spans="21:30" x14ac:dyDescent="0.25">
      <c r="U352" s="9"/>
      <c r="X352" s="7"/>
      <c r="AA352" s="7"/>
      <c r="AD352" s="7"/>
    </row>
    <row r="353" spans="21:30" x14ac:dyDescent="0.25">
      <c r="U353" s="9"/>
      <c r="X353" s="7"/>
      <c r="AA353" s="7"/>
      <c r="AD353" s="7"/>
    </row>
    <row r="354" spans="21:30" x14ac:dyDescent="0.25">
      <c r="U354" s="9"/>
      <c r="X354" s="7"/>
      <c r="AA354" s="7"/>
      <c r="AD354" s="7"/>
    </row>
    <row r="355" spans="21:30" x14ac:dyDescent="0.25">
      <c r="U355" s="9"/>
      <c r="X355" s="7"/>
      <c r="AA355" s="7"/>
      <c r="AD355" s="7"/>
    </row>
    <row r="356" spans="21:30" x14ac:dyDescent="0.25">
      <c r="U356" s="9"/>
      <c r="X356" s="7"/>
      <c r="AA356" s="7"/>
      <c r="AD356" s="7"/>
    </row>
    <row r="357" spans="21:30" x14ac:dyDescent="0.25">
      <c r="U357" s="9"/>
      <c r="X357" s="7"/>
      <c r="AA357" s="7"/>
      <c r="AD357" s="7"/>
    </row>
    <row r="358" spans="21:30" x14ac:dyDescent="0.25">
      <c r="U358" s="9"/>
      <c r="X358" s="7"/>
      <c r="AA358" s="7"/>
      <c r="AD358" s="7"/>
    </row>
    <row r="359" spans="21:30" x14ac:dyDescent="0.25">
      <c r="U359" s="9"/>
      <c r="X359" s="7"/>
      <c r="AA359" s="7"/>
      <c r="AD359" s="7"/>
    </row>
    <row r="360" spans="21:30" x14ac:dyDescent="0.25">
      <c r="U360" s="9"/>
      <c r="X360" s="7"/>
      <c r="AA360" s="7"/>
      <c r="AD360" s="7"/>
    </row>
    <row r="361" spans="21:30" x14ac:dyDescent="0.25">
      <c r="U361" s="9"/>
      <c r="X361" s="7"/>
      <c r="AA361" s="7"/>
      <c r="AD361" s="7"/>
    </row>
    <row r="362" spans="21:30" x14ac:dyDescent="0.25">
      <c r="U362" s="9"/>
      <c r="X362" s="7"/>
      <c r="AA362" s="7"/>
      <c r="AD362" s="7"/>
    </row>
    <row r="363" spans="21:30" x14ac:dyDescent="0.25">
      <c r="U363" s="9"/>
      <c r="X363" s="7"/>
      <c r="AA363" s="7"/>
      <c r="AD363" s="7"/>
    </row>
    <row r="364" spans="21:30" x14ac:dyDescent="0.25">
      <c r="U364" s="9"/>
      <c r="X364" s="7"/>
      <c r="AA364" s="7"/>
      <c r="AD364" s="7"/>
    </row>
    <row r="365" spans="21:30" x14ac:dyDescent="0.25">
      <c r="U365" s="9"/>
      <c r="X365" s="7"/>
      <c r="AA365" s="7"/>
      <c r="AD365" s="7"/>
    </row>
    <row r="366" spans="21:30" x14ac:dyDescent="0.25">
      <c r="U366" s="9"/>
      <c r="X366" s="7"/>
      <c r="AA366" s="7"/>
      <c r="AD366" s="7"/>
    </row>
    <row r="367" spans="21:30" x14ac:dyDescent="0.25">
      <c r="U367" s="9"/>
      <c r="X367" s="7"/>
      <c r="AA367" s="7"/>
      <c r="AD367" s="7"/>
    </row>
    <row r="368" spans="21:30" x14ac:dyDescent="0.25">
      <c r="U368" s="9"/>
      <c r="X368" s="7"/>
      <c r="AA368" s="7"/>
      <c r="AD368" s="7"/>
    </row>
    <row r="369" spans="21:30" x14ac:dyDescent="0.25">
      <c r="U369" s="9"/>
      <c r="X369" s="7"/>
      <c r="AA369" s="7"/>
      <c r="AD369" s="7"/>
    </row>
    <row r="370" spans="21:30" x14ac:dyDescent="0.25">
      <c r="U370" s="9"/>
      <c r="X370" s="7"/>
      <c r="AA370" s="7"/>
      <c r="AD370" s="7"/>
    </row>
    <row r="371" spans="21:30" x14ac:dyDescent="0.25">
      <c r="U371" s="9"/>
      <c r="X371" s="7"/>
      <c r="AA371" s="7"/>
      <c r="AD371" s="7"/>
    </row>
    <row r="372" spans="21:30" x14ac:dyDescent="0.25">
      <c r="U372" s="9"/>
      <c r="X372" s="7"/>
      <c r="AA372" s="7"/>
      <c r="AD372" s="7"/>
    </row>
    <row r="373" spans="21:30" x14ac:dyDescent="0.25">
      <c r="U373" s="9"/>
      <c r="X373" s="7"/>
      <c r="AA373" s="7"/>
      <c r="AD373" s="7"/>
    </row>
    <row r="374" spans="21:30" x14ac:dyDescent="0.25">
      <c r="U374" s="9"/>
      <c r="X374" s="7"/>
      <c r="AA374" s="7"/>
      <c r="AD374" s="7"/>
    </row>
    <row r="375" spans="21:30" x14ac:dyDescent="0.25">
      <c r="U375" s="9"/>
      <c r="X375" s="7"/>
      <c r="AA375" s="7"/>
      <c r="AD375" s="7"/>
    </row>
    <row r="376" spans="21:30" x14ac:dyDescent="0.25">
      <c r="U376" s="9"/>
      <c r="X376" s="7"/>
      <c r="AA376" s="7"/>
      <c r="AD376" s="7"/>
    </row>
    <row r="377" spans="21:30" x14ac:dyDescent="0.25">
      <c r="U377" s="9"/>
      <c r="X377" s="7"/>
      <c r="AA377" s="7"/>
      <c r="AD377" s="7"/>
    </row>
    <row r="378" spans="21:30" x14ac:dyDescent="0.25">
      <c r="U378" s="9"/>
      <c r="X378" s="7"/>
      <c r="AA378" s="7"/>
      <c r="AD378" s="7"/>
    </row>
    <row r="379" spans="21:30" x14ac:dyDescent="0.25">
      <c r="U379" s="9"/>
      <c r="X379" s="7"/>
      <c r="AA379" s="7"/>
      <c r="AD379" s="7"/>
    </row>
    <row r="380" spans="21:30" x14ac:dyDescent="0.25">
      <c r="U380" s="9"/>
      <c r="X380" s="7"/>
      <c r="AA380" s="7"/>
      <c r="AD380" s="7"/>
    </row>
    <row r="381" spans="21:30" x14ac:dyDescent="0.25">
      <c r="U381" s="9"/>
      <c r="X381" s="7"/>
      <c r="AA381" s="7"/>
      <c r="AD381" s="7"/>
    </row>
    <row r="382" spans="21:30" x14ac:dyDescent="0.25">
      <c r="U382" s="9"/>
      <c r="X382" s="7"/>
      <c r="AA382" s="7"/>
      <c r="AD382" s="7"/>
    </row>
    <row r="383" spans="21:30" x14ac:dyDescent="0.25">
      <c r="U383" s="9"/>
      <c r="X383" s="7"/>
      <c r="AA383" s="7"/>
      <c r="AD383" s="7"/>
    </row>
    <row r="384" spans="21:30" x14ac:dyDescent="0.25">
      <c r="U384" s="9"/>
      <c r="X384" s="7"/>
      <c r="AA384" s="7"/>
      <c r="AD384" s="7"/>
    </row>
    <row r="385" spans="21:30" x14ac:dyDescent="0.25">
      <c r="U385" s="9"/>
      <c r="X385" s="7"/>
      <c r="AA385" s="7"/>
      <c r="AD385" s="7"/>
    </row>
    <row r="386" spans="21:30" x14ac:dyDescent="0.25">
      <c r="U386" s="9"/>
      <c r="X386" s="7"/>
      <c r="AA386" s="7"/>
      <c r="AD386" s="7"/>
    </row>
    <row r="387" spans="21:30" x14ac:dyDescent="0.25">
      <c r="U387" s="9"/>
      <c r="X387" s="7"/>
      <c r="AA387" s="7"/>
      <c r="AD387" s="7"/>
    </row>
    <row r="388" spans="21:30" x14ac:dyDescent="0.25">
      <c r="U388" s="9"/>
      <c r="X388" s="7"/>
      <c r="AA388" s="7"/>
      <c r="AD388" s="7"/>
    </row>
    <row r="389" spans="21:30" x14ac:dyDescent="0.25">
      <c r="U389" s="9"/>
      <c r="X389" s="7"/>
      <c r="AA389" s="7"/>
      <c r="AD389" s="7"/>
    </row>
    <row r="390" spans="21:30" x14ac:dyDescent="0.25">
      <c r="U390" s="9"/>
      <c r="X390" s="7"/>
      <c r="AA390" s="7"/>
      <c r="AD390" s="7"/>
    </row>
    <row r="391" spans="21:30" x14ac:dyDescent="0.25">
      <c r="U391" s="9"/>
      <c r="X391" s="7"/>
      <c r="AA391" s="7"/>
      <c r="AD391" s="7"/>
    </row>
    <row r="392" spans="21:30" x14ac:dyDescent="0.25">
      <c r="U392" s="9"/>
      <c r="X392" s="7"/>
      <c r="AA392" s="7"/>
      <c r="AD392" s="7"/>
    </row>
    <row r="393" spans="21:30" x14ac:dyDescent="0.25">
      <c r="U393" s="9"/>
      <c r="X393" s="7"/>
      <c r="AA393" s="7"/>
      <c r="AD393" s="7"/>
    </row>
    <row r="394" spans="21:30" x14ac:dyDescent="0.25">
      <c r="U394" s="9"/>
      <c r="X394" s="7"/>
      <c r="AA394" s="7"/>
      <c r="AD394" s="7"/>
    </row>
    <row r="395" spans="21:30" x14ac:dyDescent="0.25">
      <c r="U395" s="9"/>
      <c r="X395" s="7"/>
      <c r="AA395" s="7"/>
      <c r="AD395" s="7"/>
    </row>
    <row r="396" spans="21:30" x14ac:dyDescent="0.25">
      <c r="U396" s="9"/>
      <c r="X396" s="7"/>
      <c r="AA396" s="7"/>
      <c r="AD396" s="7"/>
    </row>
    <row r="397" spans="21:30" x14ac:dyDescent="0.25">
      <c r="U397" s="9"/>
      <c r="X397" s="7"/>
      <c r="AA397" s="7"/>
      <c r="AD397" s="7"/>
    </row>
    <row r="398" spans="21:30" x14ac:dyDescent="0.25">
      <c r="U398" s="9"/>
      <c r="X398" s="7"/>
      <c r="AA398" s="7"/>
      <c r="AD398" s="7"/>
    </row>
    <row r="399" spans="21:30" x14ac:dyDescent="0.25">
      <c r="U399" s="9"/>
      <c r="X399" s="7"/>
      <c r="AA399" s="7"/>
      <c r="AD399" s="7"/>
    </row>
    <row r="400" spans="21:30" x14ac:dyDescent="0.25">
      <c r="U400" s="9"/>
      <c r="X400" s="7"/>
      <c r="AA400" s="7"/>
      <c r="AD400" s="7"/>
    </row>
    <row r="401" spans="21:30" x14ac:dyDescent="0.25">
      <c r="U401" s="9"/>
      <c r="X401" s="7"/>
      <c r="AA401" s="7"/>
      <c r="AD401" s="7"/>
    </row>
    <row r="402" spans="21:30" x14ac:dyDescent="0.25">
      <c r="U402" s="9"/>
      <c r="X402" s="7"/>
      <c r="AA402" s="7"/>
      <c r="AD402" s="7"/>
    </row>
    <row r="403" spans="21:30" x14ac:dyDescent="0.25">
      <c r="U403" s="9"/>
      <c r="X403" s="7"/>
      <c r="AA403" s="7"/>
      <c r="AD403" s="7"/>
    </row>
    <row r="404" spans="21:30" x14ac:dyDescent="0.25">
      <c r="U404" s="9"/>
      <c r="X404" s="7"/>
      <c r="AA404" s="7"/>
      <c r="AD404" s="7"/>
    </row>
    <row r="405" spans="21:30" x14ac:dyDescent="0.25">
      <c r="U405" s="9"/>
      <c r="X405" s="7"/>
      <c r="AA405" s="7"/>
      <c r="AD405" s="7"/>
    </row>
    <row r="406" spans="21:30" x14ac:dyDescent="0.25">
      <c r="U406" s="9"/>
      <c r="X406" s="7"/>
      <c r="AA406" s="7"/>
      <c r="AD406" s="7"/>
    </row>
    <row r="407" spans="21:30" x14ac:dyDescent="0.25">
      <c r="U407" s="9"/>
      <c r="X407" s="7"/>
      <c r="AA407" s="7"/>
      <c r="AD407" s="7"/>
    </row>
    <row r="408" spans="21:30" x14ac:dyDescent="0.25">
      <c r="U408" s="9"/>
      <c r="X408" s="7"/>
      <c r="AA408" s="7"/>
      <c r="AD408" s="7"/>
    </row>
    <row r="409" spans="21:30" x14ac:dyDescent="0.25">
      <c r="U409" s="9"/>
      <c r="X409" s="7"/>
      <c r="AA409" s="7"/>
      <c r="AD409" s="7"/>
    </row>
    <row r="410" spans="21:30" x14ac:dyDescent="0.25">
      <c r="U410" s="9"/>
      <c r="X410" s="7"/>
      <c r="AA410" s="7"/>
      <c r="AD410" s="7"/>
    </row>
    <row r="411" spans="21:30" x14ac:dyDescent="0.25">
      <c r="U411" s="9"/>
      <c r="X411" s="7"/>
      <c r="AA411" s="7"/>
      <c r="AD411" s="7"/>
    </row>
    <row r="412" spans="21:30" x14ac:dyDescent="0.25">
      <c r="U412" s="9"/>
      <c r="X412" s="9"/>
      <c r="AA412" s="7"/>
      <c r="AD412" s="7"/>
    </row>
    <row r="413" spans="21:30" x14ac:dyDescent="0.25">
      <c r="U413" s="9"/>
      <c r="X413" s="9"/>
      <c r="AA413" s="7"/>
      <c r="AD413" s="7"/>
    </row>
    <row r="414" spans="21:30" x14ac:dyDescent="0.25">
      <c r="U414" s="9"/>
      <c r="X414" s="9"/>
      <c r="AA414" s="7"/>
      <c r="AD414" s="7"/>
    </row>
    <row r="415" spans="21:30" x14ac:dyDescent="0.25">
      <c r="U415" s="9"/>
      <c r="X415" s="9"/>
      <c r="AA415" s="7"/>
      <c r="AD415" s="7"/>
    </row>
    <row r="416" spans="21:30" x14ac:dyDescent="0.25">
      <c r="U416" s="9"/>
      <c r="X416" s="9"/>
      <c r="AA416" s="7"/>
      <c r="AD416" s="7"/>
    </row>
    <row r="417" spans="21:30" x14ac:dyDescent="0.25">
      <c r="U417" s="9"/>
      <c r="X417" s="9"/>
      <c r="AA417" s="7"/>
      <c r="AD417" s="7"/>
    </row>
    <row r="418" spans="21:30" x14ac:dyDescent="0.25">
      <c r="U418" s="9"/>
      <c r="X418" s="9"/>
      <c r="AA418" s="7"/>
      <c r="AD418" s="7"/>
    </row>
    <row r="419" spans="21:30" x14ac:dyDescent="0.25">
      <c r="U419" s="9"/>
      <c r="X419" s="9"/>
      <c r="AA419" s="7"/>
      <c r="AD419" s="7"/>
    </row>
    <row r="420" spans="21:30" x14ac:dyDescent="0.25">
      <c r="U420" s="9"/>
      <c r="X420" s="9"/>
      <c r="AA420" s="7"/>
      <c r="AD420" s="7"/>
    </row>
    <row r="421" spans="21:30" x14ac:dyDescent="0.25">
      <c r="U421" s="9"/>
      <c r="X421" s="9"/>
      <c r="AA421" s="7"/>
      <c r="AD421" s="7"/>
    </row>
    <row r="422" spans="21:30" x14ac:dyDescent="0.25">
      <c r="U422" s="9"/>
      <c r="X422" s="9"/>
      <c r="AA422" s="7"/>
      <c r="AD422" s="7"/>
    </row>
    <row r="423" spans="21:30" x14ac:dyDescent="0.25">
      <c r="U423" s="9"/>
      <c r="X423" s="9"/>
      <c r="AA423" s="7"/>
      <c r="AD423" s="7"/>
    </row>
    <row r="424" spans="21:30" x14ac:dyDescent="0.25">
      <c r="U424" s="9"/>
      <c r="X424" s="9"/>
      <c r="AA424" s="7"/>
      <c r="AD424" s="7"/>
    </row>
    <row r="425" spans="21:30" x14ac:dyDescent="0.25">
      <c r="U425" s="9"/>
      <c r="X425" s="9"/>
      <c r="AA425" s="7"/>
      <c r="AD425" s="7"/>
    </row>
    <row r="426" spans="21:30" x14ac:dyDescent="0.25">
      <c r="U426" s="9"/>
      <c r="X426" s="9"/>
      <c r="AA426" s="7"/>
      <c r="AD426" s="7"/>
    </row>
    <row r="427" spans="21:30" x14ac:dyDescent="0.25">
      <c r="U427" s="9"/>
      <c r="X427" s="9"/>
      <c r="AA427" s="7"/>
      <c r="AD427" s="7"/>
    </row>
    <row r="428" spans="21:30" x14ac:dyDescent="0.25">
      <c r="U428" s="9"/>
      <c r="X428" s="9"/>
      <c r="AA428" s="7"/>
      <c r="AD428" s="7"/>
    </row>
    <row r="429" spans="21:30" x14ac:dyDescent="0.25">
      <c r="U429" s="9"/>
      <c r="X429" s="9"/>
      <c r="AA429" s="7"/>
      <c r="AD429" s="7"/>
    </row>
    <row r="430" spans="21:30" x14ac:dyDescent="0.25">
      <c r="U430" s="9"/>
      <c r="X430" s="9"/>
      <c r="AA430" s="7"/>
      <c r="AD430" s="7"/>
    </row>
    <row r="431" spans="21:30" x14ac:dyDescent="0.25">
      <c r="U431" s="9"/>
      <c r="X431" s="9"/>
      <c r="AA431" s="7"/>
      <c r="AD431" s="7"/>
    </row>
    <row r="432" spans="21:30" x14ac:dyDescent="0.25">
      <c r="U432" s="9"/>
      <c r="X432" s="9"/>
      <c r="AA432" s="7"/>
      <c r="AD432" s="7"/>
    </row>
    <row r="433" spans="21:30" x14ac:dyDescent="0.25">
      <c r="U433" s="9"/>
      <c r="X433" s="9"/>
      <c r="AA433" s="7"/>
      <c r="AD433" s="7"/>
    </row>
    <row r="434" spans="21:30" x14ac:dyDescent="0.25">
      <c r="U434" s="9"/>
      <c r="X434" s="9"/>
      <c r="AA434" s="7"/>
      <c r="AD434" s="7"/>
    </row>
    <row r="435" spans="21:30" x14ac:dyDescent="0.25">
      <c r="U435" s="9"/>
      <c r="X435" s="9"/>
      <c r="AA435" s="7"/>
      <c r="AD435" s="7"/>
    </row>
    <row r="436" spans="21:30" x14ac:dyDescent="0.25">
      <c r="U436" s="9"/>
      <c r="X436" s="9"/>
      <c r="AA436" s="7"/>
      <c r="AD436" s="7"/>
    </row>
    <row r="437" spans="21:30" x14ac:dyDescent="0.25">
      <c r="U437" s="9"/>
      <c r="X437" s="9"/>
      <c r="AA437" s="7"/>
      <c r="AD437" s="7"/>
    </row>
    <row r="438" spans="21:30" x14ac:dyDescent="0.25">
      <c r="U438" s="9"/>
      <c r="X438" s="9"/>
      <c r="AA438" s="7"/>
      <c r="AD438" s="7"/>
    </row>
    <row r="439" spans="21:30" x14ac:dyDescent="0.25">
      <c r="U439" s="9"/>
      <c r="X439" s="9"/>
      <c r="AA439" s="7"/>
      <c r="AD439" s="7"/>
    </row>
    <row r="440" spans="21:30" x14ac:dyDescent="0.25">
      <c r="U440" s="9"/>
      <c r="X440" s="9"/>
      <c r="AA440" s="7"/>
      <c r="AD440" s="7"/>
    </row>
    <row r="441" spans="21:30" x14ac:dyDescent="0.25">
      <c r="U441" s="9"/>
      <c r="X441" s="9"/>
      <c r="AA441" s="7"/>
      <c r="AD441" s="7"/>
    </row>
    <row r="442" spans="21:30" x14ac:dyDescent="0.25">
      <c r="U442" s="9"/>
      <c r="X442" s="9"/>
      <c r="AA442" s="7"/>
      <c r="AD442" s="7"/>
    </row>
    <row r="443" spans="21:30" x14ac:dyDescent="0.25">
      <c r="U443" s="9"/>
      <c r="X443" s="9"/>
      <c r="AA443" s="7"/>
      <c r="AD443" s="7"/>
    </row>
    <row r="444" spans="21:30" x14ac:dyDescent="0.25">
      <c r="U444" s="9"/>
      <c r="X444" s="9"/>
      <c r="AA444" s="7"/>
      <c r="AD444" s="7"/>
    </row>
    <row r="445" spans="21:30" x14ac:dyDescent="0.25">
      <c r="U445" s="9"/>
      <c r="X445" s="9"/>
      <c r="AA445" s="7"/>
      <c r="AD445" s="7"/>
    </row>
    <row r="446" spans="21:30" x14ac:dyDescent="0.25">
      <c r="U446" s="9"/>
      <c r="X446" s="9"/>
      <c r="AA446" s="7"/>
      <c r="AD446" s="7"/>
    </row>
    <row r="447" spans="21:30" x14ac:dyDescent="0.25">
      <c r="U447" s="9"/>
      <c r="X447" s="9"/>
      <c r="AA447" s="7"/>
      <c r="AD447" s="7"/>
    </row>
    <row r="448" spans="21:30" x14ac:dyDescent="0.25">
      <c r="U448" s="9"/>
      <c r="X448" s="9"/>
      <c r="AA448" s="7"/>
      <c r="AD448" s="7"/>
    </row>
    <row r="449" spans="21:30" x14ac:dyDescent="0.25">
      <c r="U449" s="9"/>
      <c r="X449" s="9"/>
      <c r="AA449" s="7"/>
      <c r="AD449" s="7"/>
    </row>
    <row r="450" spans="21:30" x14ac:dyDescent="0.25">
      <c r="U450" s="9"/>
      <c r="X450" s="9"/>
      <c r="AA450" s="7"/>
      <c r="AD450" s="7"/>
    </row>
    <row r="451" spans="21:30" x14ac:dyDescent="0.25">
      <c r="U451" s="9"/>
      <c r="X451" s="9"/>
      <c r="AA451" s="7"/>
      <c r="AD451" s="7"/>
    </row>
    <row r="452" spans="21:30" x14ac:dyDescent="0.25">
      <c r="U452" s="9"/>
      <c r="X452" s="9"/>
      <c r="AA452" s="7"/>
      <c r="AD452" s="7"/>
    </row>
    <row r="453" spans="21:30" x14ac:dyDescent="0.25">
      <c r="U453" s="9"/>
      <c r="X453" s="9"/>
      <c r="AA453" s="7"/>
      <c r="AD453" s="7"/>
    </row>
    <row r="454" spans="21:30" x14ac:dyDescent="0.25">
      <c r="U454" s="9"/>
      <c r="X454" s="9"/>
      <c r="AA454" s="7"/>
      <c r="AD454" s="7"/>
    </row>
    <row r="455" spans="21:30" x14ac:dyDescent="0.25">
      <c r="U455" s="9"/>
      <c r="X455" s="9"/>
      <c r="AA455" s="7"/>
      <c r="AD455" s="7"/>
    </row>
    <row r="456" spans="21:30" x14ac:dyDescent="0.25">
      <c r="U456" s="9"/>
      <c r="X456" s="9"/>
      <c r="AA456" s="7"/>
      <c r="AD456" s="7"/>
    </row>
    <row r="457" spans="21:30" x14ac:dyDescent="0.25">
      <c r="U457" s="9"/>
      <c r="X457" s="9"/>
      <c r="AA457" s="7"/>
      <c r="AD457" s="7"/>
    </row>
    <row r="458" spans="21:30" x14ac:dyDescent="0.25">
      <c r="U458" s="9"/>
      <c r="X458" s="9"/>
      <c r="AA458" s="7"/>
      <c r="AD458" s="7"/>
    </row>
    <row r="459" spans="21:30" x14ac:dyDescent="0.25">
      <c r="U459" s="9"/>
      <c r="X459" s="9"/>
      <c r="AA459" s="7"/>
      <c r="AD459" s="7"/>
    </row>
    <row r="460" spans="21:30" x14ac:dyDescent="0.25">
      <c r="U460" s="9"/>
      <c r="X460" s="9"/>
      <c r="AA460" s="7"/>
      <c r="AD460" s="7"/>
    </row>
    <row r="461" spans="21:30" x14ac:dyDescent="0.25">
      <c r="U461" s="9"/>
      <c r="X461" s="9"/>
      <c r="AA461" s="7"/>
      <c r="AD461" s="7"/>
    </row>
    <row r="462" spans="21:30" x14ac:dyDescent="0.25">
      <c r="U462" s="9"/>
      <c r="X462" s="9"/>
      <c r="AA462" s="7"/>
      <c r="AD462" s="7"/>
    </row>
    <row r="463" spans="21:30" x14ac:dyDescent="0.25">
      <c r="U463" s="9"/>
      <c r="X463" s="9"/>
      <c r="AA463" s="7"/>
      <c r="AD463" s="7"/>
    </row>
    <row r="464" spans="21:30" x14ac:dyDescent="0.25">
      <c r="U464" s="9"/>
      <c r="X464" s="9"/>
      <c r="AA464" s="7"/>
      <c r="AD464" s="7"/>
    </row>
    <row r="465" spans="21:30" x14ac:dyDescent="0.25">
      <c r="U465" s="9"/>
      <c r="X465" s="9"/>
      <c r="AA465" s="7"/>
      <c r="AD465" s="7"/>
    </row>
    <row r="466" spans="21:30" x14ac:dyDescent="0.25">
      <c r="U466" s="9"/>
      <c r="X466" s="9"/>
      <c r="AA466" s="7"/>
      <c r="AD466" s="7"/>
    </row>
    <row r="467" spans="21:30" x14ac:dyDescent="0.25">
      <c r="U467" s="9"/>
      <c r="X467" s="9"/>
      <c r="AA467" s="7"/>
      <c r="AD467" s="7"/>
    </row>
    <row r="468" spans="21:30" x14ac:dyDescent="0.25">
      <c r="U468" s="9"/>
      <c r="X468" s="9"/>
      <c r="AA468" s="7"/>
      <c r="AD468" s="7"/>
    </row>
    <row r="469" spans="21:30" x14ac:dyDescent="0.25">
      <c r="U469" s="9"/>
      <c r="X469" s="9"/>
      <c r="AA469" s="7"/>
      <c r="AD469" s="7"/>
    </row>
    <row r="470" spans="21:30" x14ac:dyDescent="0.25">
      <c r="U470" s="9"/>
      <c r="X470" s="9"/>
      <c r="AA470" s="7"/>
      <c r="AD470" s="7"/>
    </row>
    <row r="471" spans="21:30" x14ac:dyDescent="0.25">
      <c r="U471" s="9"/>
      <c r="X471" s="9"/>
      <c r="AA471" s="7"/>
      <c r="AD471" s="7"/>
    </row>
    <row r="472" spans="21:30" x14ac:dyDescent="0.25">
      <c r="U472" s="9"/>
      <c r="X472" s="9"/>
      <c r="AA472" s="7"/>
      <c r="AD472" s="7"/>
    </row>
    <row r="473" spans="21:30" x14ac:dyDescent="0.25">
      <c r="U473" s="9"/>
      <c r="X473" s="9"/>
      <c r="AA473" s="7"/>
      <c r="AD473" s="7"/>
    </row>
    <row r="474" spans="21:30" x14ac:dyDescent="0.25">
      <c r="U474" s="9"/>
      <c r="X474" s="9"/>
      <c r="AA474" s="7"/>
      <c r="AD474" s="7"/>
    </row>
    <row r="475" spans="21:30" x14ac:dyDescent="0.25">
      <c r="U475" s="9"/>
      <c r="X475" s="9"/>
      <c r="AA475" s="7"/>
      <c r="AD475" s="7"/>
    </row>
    <row r="476" spans="21:30" x14ac:dyDescent="0.25">
      <c r="U476" s="9"/>
      <c r="X476" s="9"/>
      <c r="AA476" s="7"/>
      <c r="AD476" s="7"/>
    </row>
    <row r="477" spans="21:30" x14ac:dyDescent="0.25">
      <c r="U477" s="9"/>
      <c r="X477" s="9"/>
      <c r="AA477" s="7"/>
      <c r="AD477" s="7"/>
    </row>
    <row r="478" spans="21:30" x14ac:dyDescent="0.25">
      <c r="U478" s="9"/>
      <c r="X478" s="9"/>
      <c r="AA478" s="7"/>
      <c r="AD478" s="7"/>
    </row>
    <row r="479" spans="21:30" x14ac:dyDescent="0.25">
      <c r="U479" s="9"/>
      <c r="X479" s="9"/>
      <c r="AA479" s="7"/>
      <c r="AD479" s="7"/>
    </row>
    <row r="480" spans="21:30" x14ac:dyDescent="0.25">
      <c r="U480" s="9"/>
      <c r="X480" s="9"/>
      <c r="AA480" s="7"/>
      <c r="AD480" s="7"/>
    </row>
    <row r="481" spans="21:30" x14ac:dyDescent="0.25">
      <c r="U481" s="9"/>
      <c r="X481" s="9"/>
      <c r="AA481" s="7"/>
      <c r="AD481" s="7"/>
    </row>
    <row r="482" spans="21:30" x14ac:dyDescent="0.25">
      <c r="U482" s="9"/>
      <c r="X482" s="9"/>
      <c r="AA482" s="7"/>
      <c r="AD482" s="7"/>
    </row>
    <row r="483" spans="21:30" x14ac:dyDescent="0.25">
      <c r="U483" s="9"/>
      <c r="X483" s="9"/>
      <c r="AA483" s="7"/>
      <c r="AD483" s="7"/>
    </row>
    <row r="484" spans="21:30" x14ac:dyDescent="0.25">
      <c r="U484" s="9"/>
      <c r="X484" s="9"/>
      <c r="AA484" s="7"/>
      <c r="AD484" s="7"/>
    </row>
    <row r="485" spans="21:30" x14ac:dyDescent="0.25">
      <c r="U485" s="9"/>
      <c r="X485" s="9"/>
      <c r="AA485" s="7"/>
      <c r="AD485" s="7"/>
    </row>
    <row r="486" spans="21:30" x14ac:dyDescent="0.25">
      <c r="U486" s="9"/>
      <c r="X486" s="9"/>
      <c r="AA486" s="7"/>
      <c r="AD486" s="7"/>
    </row>
    <row r="487" spans="21:30" x14ac:dyDescent="0.25">
      <c r="U487" s="9"/>
      <c r="X487" s="9"/>
      <c r="AA487" s="7"/>
      <c r="AD487" s="7"/>
    </row>
    <row r="488" spans="21:30" x14ac:dyDescent="0.25">
      <c r="U488" s="9"/>
      <c r="X488" s="9"/>
      <c r="AA488" s="7"/>
      <c r="AD488" s="7"/>
    </row>
    <row r="489" spans="21:30" x14ac:dyDescent="0.25">
      <c r="U489" s="9"/>
      <c r="X489" s="9"/>
      <c r="AA489" s="7"/>
      <c r="AD489" s="7"/>
    </row>
    <row r="490" spans="21:30" x14ac:dyDescent="0.25">
      <c r="U490" s="9"/>
      <c r="X490" s="9"/>
      <c r="AA490" s="7"/>
      <c r="AD490" s="7"/>
    </row>
    <row r="491" spans="21:30" x14ac:dyDescent="0.25">
      <c r="U491" s="9"/>
      <c r="X491" s="9"/>
      <c r="AA491" s="7"/>
      <c r="AD491" s="7"/>
    </row>
    <row r="492" spans="21:30" x14ac:dyDescent="0.25">
      <c r="U492" s="9"/>
      <c r="X492" s="9"/>
      <c r="AA492" s="7"/>
      <c r="AD492" s="7"/>
    </row>
    <row r="493" spans="21:30" x14ac:dyDescent="0.25">
      <c r="U493" s="9"/>
      <c r="X493" s="9"/>
      <c r="AA493" s="7"/>
      <c r="AD493" s="7"/>
    </row>
    <row r="494" spans="21:30" x14ac:dyDescent="0.25">
      <c r="U494" s="9"/>
      <c r="X494" s="9"/>
      <c r="AA494" s="7"/>
      <c r="AD494" s="7"/>
    </row>
    <row r="495" spans="21:30" x14ac:dyDescent="0.25">
      <c r="U495" s="9"/>
      <c r="X495" s="9"/>
      <c r="AA495" s="7"/>
      <c r="AD495" s="7"/>
    </row>
    <row r="496" spans="21:30" x14ac:dyDescent="0.25">
      <c r="U496" s="9"/>
      <c r="X496" s="9"/>
      <c r="AA496" s="7"/>
      <c r="AD496" s="7"/>
    </row>
    <row r="497" spans="21:30" x14ac:dyDescent="0.25">
      <c r="U497" s="9"/>
      <c r="X497" s="9"/>
      <c r="AA497" s="7"/>
      <c r="AD497" s="7"/>
    </row>
    <row r="498" spans="21:30" x14ac:dyDescent="0.25">
      <c r="U498" s="9"/>
      <c r="X498" s="9"/>
      <c r="AA498" s="7"/>
      <c r="AD498" s="7"/>
    </row>
    <row r="499" spans="21:30" x14ac:dyDescent="0.25">
      <c r="U499" s="9"/>
      <c r="X499" s="9"/>
      <c r="AA499" s="7"/>
      <c r="AD499" s="7"/>
    </row>
    <row r="500" spans="21:30" x14ac:dyDescent="0.25">
      <c r="U500" s="9"/>
      <c r="X500" s="9"/>
      <c r="AA500" s="7"/>
      <c r="AD500" s="7"/>
    </row>
    <row r="501" spans="21:30" x14ac:dyDescent="0.25">
      <c r="U501" s="9"/>
      <c r="X501" s="9"/>
      <c r="AA501" s="7"/>
      <c r="AD501" s="7"/>
    </row>
    <row r="502" spans="21:30" x14ac:dyDescent="0.25">
      <c r="U502" s="9"/>
      <c r="X502" s="9"/>
      <c r="AA502" s="7"/>
      <c r="AD502" s="7"/>
    </row>
    <row r="503" spans="21:30" x14ac:dyDescent="0.25">
      <c r="U503" s="9"/>
      <c r="X503" s="9"/>
      <c r="AA503" s="7"/>
      <c r="AD503" s="7"/>
    </row>
    <row r="504" spans="21:30" x14ac:dyDescent="0.25">
      <c r="U504" s="9"/>
      <c r="X504" s="9"/>
      <c r="AA504" s="7"/>
      <c r="AD504" s="7"/>
    </row>
    <row r="505" spans="21:30" x14ac:dyDescent="0.25">
      <c r="U505" s="9"/>
      <c r="X505" s="9"/>
      <c r="AA505" s="7"/>
      <c r="AD505" s="7"/>
    </row>
    <row r="506" spans="21:30" x14ac:dyDescent="0.25">
      <c r="U506" s="9"/>
      <c r="X506" s="9"/>
      <c r="AA506" s="7"/>
      <c r="AD506" s="7"/>
    </row>
    <row r="507" spans="21:30" x14ac:dyDescent="0.25">
      <c r="U507" s="9"/>
      <c r="X507" s="9"/>
      <c r="AA507" s="7"/>
      <c r="AD507" s="7"/>
    </row>
    <row r="508" spans="21:30" x14ac:dyDescent="0.25">
      <c r="U508" s="9"/>
      <c r="X508" s="9"/>
      <c r="AA508" s="7"/>
      <c r="AD508" s="7"/>
    </row>
    <row r="509" spans="21:30" x14ac:dyDescent="0.25">
      <c r="U509" s="9"/>
      <c r="X509" s="9"/>
      <c r="AA509" s="7"/>
      <c r="AD509" s="7"/>
    </row>
    <row r="510" spans="21:30" x14ac:dyDescent="0.25">
      <c r="U510" s="9"/>
      <c r="X510" s="9"/>
      <c r="AA510" s="7"/>
      <c r="AD510" s="7"/>
    </row>
    <row r="511" spans="21:30" x14ac:dyDescent="0.25">
      <c r="U511" s="9"/>
      <c r="X511" s="9"/>
      <c r="AA511" s="7"/>
      <c r="AD511" s="7"/>
    </row>
    <row r="512" spans="21:30" x14ac:dyDescent="0.25">
      <c r="U512" s="9"/>
      <c r="X512" s="9"/>
      <c r="AA512" s="7"/>
      <c r="AD512" s="7"/>
    </row>
    <row r="513" spans="21:30" x14ac:dyDescent="0.25">
      <c r="U513" s="9"/>
      <c r="X513" s="9"/>
      <c r="AA513" s="7"/>
      <c r="AD513" s="7"/>
    </row>
    <row r="514" spans="21:30" x14ac:dyDescent="0.25">
      <c r="U514" s="9"/>
      <c r="X514" s="9"/>
      <c r="AA514" s="7"/>
      <c r="AD514" s="7"/>
    </row>
    <row r="515" spans="21:30" x14ac:dyDescent="0.25">
      <c r="U515" s="9"/>
      <c r="X515" s="9"/>
      <c r="AA515" s="7"/>
      <c r="AD515" s="7"/>
    </row>
    <row r="516" spans="21:30" x14ac:dyDescent="0.25">
      <c r="U516" s="9"/>
      <c r="X516" s="9"/>
      <c r="AA516" s="7"/>
      <c r="AD516" s="7"/>
    </row>
    <row r="517" spans="21:30" x14ac:dyDescent="0.25">
      <c r="U517" s="9"/>
      <c r="X517" s="9"/>
      <c r="AA517" s="7"/>
      <c r="AD517" s="7"/>
    </row>
    <row r="518" spans="21:30" x14ac:dyDescent="0.25">
      <c r="U518" s="9"/>
      <c r="X518" s="9"/>
      <c r="AA518" s="7"/>
      <c r="AD518" s="7"/>
    </row>
    <row r="519" spans="21:30" x14ac:dyDescent="0.25">
      <c r="U519" s="9"/>
      <c r="X519" s="9"/>
      <c r="AA519" s="7"/>
      <c r="AD519" s="7"/>
    </row>
    <row r="520" spans="21:30" x14ac:dyDescent="0.25">
      <c r="U520" s="9"/>
      <c r="X520" s="9"/>
      <c r="AA520" s="7"/>
      <c r="AD520" s="7"/>
    </row>
    <row r="521" spans="21:30" x14ac:dyDescent="0.25">
      <c r="U521" s="9"/>
      <c r="X521" s="9"/>
      <c r="AA521" s="7"/>
      <c r="AD521" s="7"/>
    </row>
    <row r="522" spans="21:30" x14ac:dyDescent="0.25">
      <c r="U522" s="9"/>
      <c r="X522" s="9"/>
      <c r="AA522" s="7"/>
      <c r="AD522" s="7"/>
    </row>
    <row r="523" spans="21:30" x14ac:dyDescent="0.25">
      <c r="U523" s="9"/>
      <c r="X523" s="9"/>
      <c r="AA523" s="7"/>
      <c r="AD523" s="7"/>
    </row>
    <row r="524" spans="21:30" x14ac:dyDescent="0.25">
      <c r="U524" s="9"/>
      <c r="X524" s="9"/>
      <c r="AA524" s="7"/>
      <c r="AD524" s="7"/>
    </row>
    <row r="525" spans="21:30" x14ac:dyDescent="0.25">
      <c r="U525" s="9"/>
      <c r="X525" s="9"/>
      <c r="AA525" s="7"/>
      <c r="AD525" s="7"/>
    </row>
    <row r="526" spans="21:30" x14ac:dyDescent="0.25">
      <c r="U526" s="9"/>
      <c r="X526" s="9"/>
      <c r="AA526" s="7"/>
      <c r="AD526" s="7"/>
    </row>
    <row r="527" spans="21:30" x14ac:dyDescent="0.25">
      <c r="U527" s="9"/>
      <c r="X527" s="9"/>
      <c r="AA527" s="7"/>
      <c r="AD527" s="7"/>
    </row>
    <row r="528" spans="21:30" x14ac:dyDescent="0.25">
      <c r="U528" s="9"/>
      <c r="X528" s="9"/>
      <c r="AA528" s="7"/>
      <c r="AD528" s="7"/>
    </row>
    <row r="529" spans="21:30" x14ac:dyDescent="0.25">
      <c r="U529" s="9"/>
      <c r="X529" s="9"/>
      <c r="AA529" s="7"/>
      <c r="AD529" s="7"/>
    </row>
    <row r="530" spans="21:30" x14ac:dyDescent="0.25">
      <c r="U530" s="9"/>
      <c r="X530" s="9"/>
      <c r="AA530" s="7"/>
      <c r="AD530" s="7"/>
    </row>
    <row r="531" spans="21:30" x14ac:dyDescent="0.25">
      <c r="U531" s="9"/>
      <c r="X531" s="9"/>
      <c r="AA531" s="7"/>
      <c r="AD531" s="7"/>
    </row>
    <row r="532" spans="21:30" x14ac:dyDescent="0.25">
      <c r="U532" s="9"/>
      <c r="X532" s="9"/>
      <c r="AA532" s="7"/>
      <c r="AD532" s="7"/>
    </row>
    <row r="533" spans="21:30" x14ac:dyDescent="0.25">
      <c r="U533" s="9"/>
      <c r="X533" s="9"/>
      <c r="AA533" s="7"/>
      <c r="AD533" s="7"/>
    </row>
    <row r="534" spans="21:30" x14ac:dyDescent="0.25">
      <c r="U534" s="9"/>
      <c r="X534" s="9"/>
      <c r="AA534" s="7"/>
      <c r="AD534" s="7"/>
    </row>
    <row r="535" spans="21:30" x14ac:dyDescent="0.25">
      <c r="U535" s="9"/>
      <c r="X535" s="9"/>
      <c r="AA535" s="7"/>
      <c r="AD535" s="7"/>
    </row>
    <row r="536" spans="21:30" x14ac:dyDescent="0.25">
      <c r="U536" s="9"/>
      <c r="X536" s="9"/>
      <c r="AA536" s="7"/>
      <c r="AD536" s="7"/>
    </row>
    <row r="537" spans="21:30" x14ac:dyDescent="0.25">
      <c r="U537" s="9"/>
      <c r="X537" s="9"/>
      <c r="AA537" s="7"/>
      <c r="AD537" s="7"/>
    </row>
    <row r="538" spans="21:30" x14ac:dyDescent="0.25">
      <c r="U538" s="9"/>
      <c r="X538" s="9"/>
      <c r="AA538" s="7"/>
      <c r="AD538" s="7"/>
    </row>
    <row r="539" spans="21:30" x14ac:dyDescent="0.25">
      <c r="U539" s="9"/>
      <c r="X539" s="9"/>
      <c r="AA539" s="7"/>
      <c r="AD539" s="7"/>
    </row>
    <row r="540" spans="21:30" x14ac:dyDescent="0.25">
      <c r="U540" s="9"/>
      <c r="X540" s="9"/>
      <c r="AA540" s="7"/>
      <c r="AD540" s="7"/>
    </row>
    <row r="541" spans="21:30" x14ac:dyDescent="0.25">
      <c r="U541" s="9"/>
      <c r="X541" s="9"/>
      <c r="AA541" s="7"/>
      <c r="AD541" s="7"/>
    </row>
    <row r="542" spans="21:30" x14ac:dyDescent="0.25">
      <c r="U542" s="9"/>
      <c r="X542" s="9"/>
      <c r="AA542" s="7"/>
      <c r="AD542" s="7"/>
    </row>
    <row r="543" spans="21:30" x14ac:dyDescent="0.25">
      <c r="U543" s="9"/>
      <c r="X543" s="9"/>
      <c r="AA543" s="7"/>
      <c r="AD543" s="7"/>
    </row>
    <row r="544" spans="21:30" x14ac:dyDescent="0.25">
      <c r="U544" s="9"/>
      <c r="X544" s="9"/>
      <c r="AA544" s="7"/>
      <c r="AD544" s="7"/>
    </row>
    <row r="545" spans="21:30" x14ac:dyDescent="0.25">
      <c r="U545" s="9"/>
      <c r="X545" s="9"/>
      <c r="AA545" s="7"/>
      <c r="AD545" s="7"/>
    </row>
    <row r="546" spans="21:30" x14ac:dyDescent="0.25">
      <c r="U546" s="9"/>
      <c r="X546" s="9"/>
      <c r="AA546" s="7"/>
      <c r="AD546" s="7"/>
    </row>
    <row r="547" spans="21:30" x14ac:dyDescent="0.25">
      <c r="U547" s="9"/>
      <c r="X547" s="9"/>
      <c r="AA547" s="7"/>
      <c r="AD547" s="7"/>
    </row>
    <row r="548" spans="21:30" x14ac:dyDescent="0.25">
      <c r="U548" s="9"/>
      <c r="X548" s="9"/>
      <c r="AA548" s="7"/>
      <c r="AD548" s="7"/>
    </row>
    <row r="549" spans="21:30" x14ac:dyDescent="0.25">
      <c r="U549" s="9"/>
      <c r="X549" s="9"/>
      <c r="AA549" s="7"/>
      <c r="AD549" s="7"/>
    </row>
    <row r="550" spans="21:30" x14ac:dyDescent="0.25">
      <c r="U550" s="9"/>
      <c r="X550" s="9"/>
      <c r="AA550" s="7"/>
      <c r="AD550" s="7"/>
    </row>
    <row r="551" spans="21:30" x14ac:dyDescent="0.25">
      <c r="U551" s="9"/>
      <c r="X551" s="9"/>
      <c r="AA551" s="7"/>
      <c r="AD551" s="7"/>
    </row>
    <row r="552" spans="21:30" x14ac:dyDescent="0.25">
      <c r="U552" s="9"/>
      <c r="X552" s="9"/>
      <c r="AA552" s="7"/>
      <c r="AD552" s="7"/>
    </row>
    <row r="553" spans="21:30" x14ac:dyDescent="0.25">
      <c r="U553" s="9"/>
      <c r="X553" s="9"/>
      <c r="AA553" s="7"/>
      <c r="AD553" s="7"/>
    </row>
    <row r="554" spans="21:30" x14ac:dyDescent="0.25">
      <c r="U554" s="9"/>
      <c r="X554" s="9"/>
      <c r="AA554" s="7"/>
      <c r="AD554" s="7"/>
    </row>
    <row r="555" spans="21:30" x14ac:dyDescent="0.25">
      <c r="U555" s="9"/>
      <c r="X555" s="9"/>
      <c r="AA555" s="7"/>
      <c r="AD555" s="7"/>
    </row>
    <row r="556" spans="21:30" x14ac:dyDescent="0.25">
      <c r="U556" s="9"/>
      <c r="X556" s="9"/>
      <c r="AA556" s="7"/>
      <c r="AD556" s="7"/>
    </row>
    <row r="557" spans="21:30" x14ac:dyDescent="0.25">
      <c r="U557" s="9"/>
      <c r="X557" s="9"/>
      <c r="AA557" s="7"/>
      <c r="AD557" s="7"/>
    </row>
    <row r="558" spans="21:30" x14ac:dyDescent="0.25">
      <c r="U558" s="9"/>
      <c r="X558" s="9"/>
      <c r="AA558" s="7"/>
      <c r="AD558" s="7"/>
    </row>
    <row r="559" spans="21:30" x14ac:dyDescent="0.25">
      <c r="U559" s="9"/>
      <c r="X559" s="9"/>
      <c r="AA559" s="7"/>
      <c r="AD559" s="7"/>
    </row>
    <row r="560" spans="21:30" x14ac:dyDescent="0.25">
      <c r="U560" s="9"/>
      <c r="X560" s="9"/>
      <c r="AA560" s="7"/>
      <c r="AD560" s="7"/>
    </row>
    <row r="561" spans="21:30" x14ac:dyDescent="0.25">
      <c r="U561" s="9"/>
      <c r="X561" s="9"/>
      <c r="AA561" s="7"/>
      <c r="AD561" s="7"/>
    </row>
    <row r="562" spans="21:30" x14ac:dyDescent="0.25">
      <c r="U562" s="9"/>
      <c r="X562" s="9"/>
      <c r="AA562" s="7"/>
      <c r="AD562" s="7"/>
    </row>
    <row r="563" spans="21:30" x14ac:dyDescent="0.25">
      <c r="U563" s="9"/>
      <c r="X563" s="9"/>
      <c r="AA563" s="7"/>
      <c r="AD563" s="7"/>
    </row>
    <row r="564" spans="21:30" x14ac:dyDescent="0.25">
      <c r="U564" s="9"/>
      <c r="X564" s="9"/>
      <c r="AA564" s="7"/>
      <c r="AD564" s="7"/>
    </row>
    <row r="565" spans="21:30" x14ac:dyDescent="0.25">
      <c r="U565" s="9"/>
      <c r="X565" s="9"/>
      <c r="AA565" s="7"/>
      <c r="AD565" s="7"/>
    </row>
    <row r="566" spans="21:30" x14ac:dyDescent="0.25">
      <c r="U566" s="9"/>
      <c r="X566" s="9"/>
      <c r="AA566" s="7"/>
      <c r="AD566" s="7"/>
    </row>
    <row r="567" spans="21:30" x14ac:dyDescent="0.25">
      <c r="U567" s="9"/>
      <c r="X567" s="9"/>
      <c r="AA567" s="7"/>
      <c r="AD567" s="7"/>
    </row>
    <row r="568" spans="21:30" x14ac:dyDescent="0.25">
      <c r="U568" s="9"/>
      <c r="X568" s="9"/>
      <c r="AA568" s="7"/>
      <c r="AD568" s="7"/>
    </row>
    <row r="569" spans="21:30" x14ac:dyDescent="0.25">
      <c r="U569" s="9"/>
      <c r="X569" s="9"/>
      <c r="AA569" s="7"/>
      <c r="AD569" s="7"/>
    </row>
    <row r="570" spans="21:30" x14ac:dyDescent="0.25">
      <c r="U570" s="9"/>
      <c r="X570" s="9"/>
      <c r="AA570" s="7"/>
      <c r="AD570" s="7"/>
    </row>
    <row r="571" spans="21:30" x14ac:dyDescent="0.25">
      <c r="U571" s="9"/>
      <c r="X571" s="9"/>
      <c r="AA571" s="7"/>
      <c r="AD571" s="7"/>
    </row>
    <row r="572" spans="21:30" x14ac:dyDescent="0.25">
      <c r="U572" s="9"/>
      <c r="X572" s="9"/>
      <c r="AA572" s="7"/>
      <c r="AD572" s="7"/>
    </row>
    <row r="573" spans="21:30" x14ac:dyDescent="0.25">
      <c r="U573" s="9"/>
      <c r="X573" s="9"/>
      <c r="AA573" s="7"/>
      <c r="AD573" s="7"/>
    </row>
    <row r="574" spans="21:30" x14ac:dyDescent="0.25">
      <c r="U574" s="9"/>
      <c r="X574" s="9"/>
      <c r="AA574" s="7"/>
      <c r="AD574" s="7"/>
    </row>
    <row r="575" spans="21:30" x14ac:dyDescent="0.25">
      <c r="U575" s="9"/>
      <c r="X575" s="9"/>
      <c r="AA575" s="7"/>
      <c r="AD575" s="7"/>
    </row>
    <row r="576" spans="21:30" x14ac:dyDescent="0.25">
      <c r="U576" s="9"/>
      <c r="X576" s="9"/>
      <c r="AA576" s="7"/>
      <c r="AD576" s="7"/>
    </row>
    <row r="577" spans="21:30" x14ac:dyDescent="0.25">
      <c r="U577" s="9"/>
      <c r="X577" s="9"/>
      <c r="AA577" s="7"/>
      <c r="AD577" s="7"/>
    </row>
    <row r="578" spans="21:30" x14ac:dyDescent="0.25">
      <c r="U578" s="9"/>
      <c r="X578" s="9"/>
      <c r="AA578" s="7"/>
      <c r="AD578" s="7"/>
    </row>
    <row r="579" spans="21:30" x14ac:dyDescent="0.25">
      <c r="U579" s="9"/>
      <c r="X579" s="9"/>
      <c r="AA579" s="7"/>
      <c r="AD579" s="7"/>
    </row>
    <row r="580" spans="21:30" x14ac:dyDescent="0.25">
      <c r="U580" s="9"/>
      <c r="X580" s="9"/>
      <c r="AA580" s="7"/>
      <c r="AD580" s="7"/>
    </row>
    <row r="581" spans="21:30" x14ac:dyDescent="0.25">
      <c r="U581" s="9"/>
      <c r="X581" s="9"/>
      <c r="AA581" s="7"/>
      <c r="AD581" s="7"/>
    </row>
    <row r="582" spans="21:30" x14ac:dyDescent="0.25">
      <c r="U582" s="9"/>
      <c r="X582" s="9"/>
      <c r="AA582" s="7"/>
      <c r="AD582" s="7"/>
    </row>
    <row r="583" spans="21:30" x14ac:dyDescent="0.25">
      <c r="U583" s="9"/>
      <c r="X583" s="9"/>
      <c r="AA583" s="7"/>
      <c r="AD583" s="7"/>
    </row>
    <row r="584" spans="21:30" x14ac:dyDescent="0.25">
      <c r="U584" s="9"/>
      <c r="X584" s="9"/>
      <c r="AA584" s="7"/>
      <c r="AD584" s="7"/>
    </row>
    <row r="585" spans="21:30" x14ac:dyDescent="0.25">
      <c r="U585" s="9"/>
      <c r="X585" s="9"/>
      <c r="AA585" s="7"/>
      <c r="AD585" s="7"/>
    </row>
    <row r="586" spans="21:30" x14ac:dyDescent="0.25">
      <c r="U586" s="9"/>
      <c r="X586" s="9"/>
      <c r="AA586" s="7"/>
      <c r="AD586" s="7"/>
    </row>
    <row r="587" spans="21:30" x14ac:dyDescent="0.25">
      <c r="U587" s="9"/>
      <c r="X587" s="9"/>
      <c r="AA587" s="7"/>
      <c r="AD587" s="7"/>
    </row>
    <row r="588" spans="21:30" x14ac:dyDescent="0.25">
      <c r="U588" s="9"/>
      <c r="X588" s="9"/>
      <c r="AA588" s="7"/>
      <c r="AD588" s="7"/>
    </row>
    <row r="589" spans="21:30" x14ac:dyDescent="0.25">
      <c r="U589" s="9"/>
      <c r="X589" s="9"/>
      <c r="AA589" s="7"/>
      <c r="AD589" s="7"/>
    </row>
    <row r="590" spans="21:30" x14ac:dyDescent="0.25">
      <c r="U590" s="9"/>
      <c r="X590" s="9"/>
      <c r="AA590" s="7"/>
      <c r="AD590" s="7"/>
    </row>
    <row r="591" spans="21:30" x14ac:dyDescent="0.25">
      <c r="U591" s="9"/>
      <c r="X591" s="9"/>
      <c r="AA591" s="7"/>
      <c r="AD591" s="7"/>
    </row>
    <row r="592" spans="21:30" x14ac:dyDescent="0.25">
      <c r="U592" s="9"/>
      <c r="X592" s="9"/>
      <c r="AA592" s="7"/>
      <c r="AD592" s="7"/>
    </row>
    <row r="593" spans="21:30" x14ac:dyDescent="0.25">
      <c r="U593" s="9"/>
      <c r="X593" s="9"/>
      <c r="AA593" s="7"/>
      <c r="AD593" s="7"/>
    </row>
    <row r="594" spans="21:30" x14ac:dyDescent="0.25">
      <c r="U594" s="9"/>
      <c r="X594" s="9"/>
      <c r="AA594" s="7"/>
      <c r="AD594" s="7"/>
    </row>
    <row r="595" spans="21:30" x14ac:dyDescent="0.25">
      <c r="U595" s="9"/>
      <c r="X595" s="9"/>
      <c r="AA595" s="7"/>
      <c r="AD595" s="7"/>
    </row>
    <row r="596" spans="21:30" x14ac:dyDescent="0.25">
      <c r="U596" s="9"/>
      <c r="X596" s="9"/>
      <c r="AA596" s="7"/>
      <c r="AD596" s="7"/>
    </row>
    <row r="597" spans="21:30" x14ac:dyDescent="0.25">
      <c r="U597" s="9"/>
      <c r="X597" s="9"/>
      <c r="AA597" s="7"/>
      <c r="AD597" s="7"/>
    </row>
    <row r="598" spans="21:30" x14ac:dyDescent="0.25">
      <c r="U598" s="9"/>
      <c r="X598" s="9"/>
      <c r="AA598" s="7"/>
      <c r="AD598" s="7"/>
    </row>
    <row r="599" spans="21:30" x14ac:dyDescent="0.25">
      <c r="U599" s="9"/>
      <c r="X599" s="9"/>
      <c r="AA599" s="7"/>
      <c r="AD599" s="7"/>
    </row>
    <row r="600" spans="21:30" x14ac:dyDescent="0.25">
      <c r="U600" s="9"/>
      <c r="X600" s="9"/>
      <c r="AA600" s="7"/>
      <c r="AD600" s="7"/>
    </row>
    <row r="601" spans="21:30" x14ac:dyDescent="0.25">
      <c r="U601" s="9"/>
      <c r="X601" s="9"/>
      <c r="AA601" s="7"/>
      <c r="AD601" s="7"/>
    </row>
    <row r="602" spans="21:30" x14ac:dyDescent="0.25">
      <c r="U602" s="9"/>
      <c r="X602" s="9"/>
      <c r="AA602" s="7"/>
      <c r="AD602" s="7"/>
    </row>
    <row r="603" spans="21:30" x14ac:dyDescent="0.25">
      <c r="U603" s="9"/>
      <c r="X603" s="9"/>
      <c r="AA603" s="7"/>
      <c r="AD603" s="7"/>
    </row>
    <row r="604" spans="21:30" x14ac:dyDescent="0.25">
      <c r="U604" s="9"/>
      <c r="X604" s="9"/>
      <c r="AA604" s="7"/>
      <c r="AD604" s="7"/>
    </row>
    <row r="605" spans="21:30" x14ac:dyDescent="0.25">
      <c r="U605" s="9"/>
      <c r="X605" s="9"/>
      <c r="AA605" s="7"/>
      <c r="AD605" s="7"/>
    </row>
    <row r="606" spans="21:30" x14ac:dyDescent="0.25">
      <c r="U606" s="9"/>
      <c r="X606" s="9"/>
      <c r="AA606" s="7"/>
      <c r="AD606" s="7"/>
    </row>
    <row r="607" spans="21:30" x14ac:dyDescent="0.25">
      <c r="U607" s="9"/>
      <c r="X607" s="9"/>
      <c r="AA607" s="7"/>
      <c r="AD607" s="7"/>
    </row>
    <row r="608" spans="21:30" x14ac:dyDescent="0.25">
      <c r="U608" s="9"/>
      <c r="X608" s="9"/>
      <c r="AA608" s="7"/>
      <c r="AD608" s="7"/>
    </row>
    <row r="609" spans="21:30" x14ac:dyDescent="0.25">
      <c r="U609" s="9"/>
      <c r="X609" s="9"/>
      <c r="AA609" s="7"/>
      <c r="AD609" s="7"/>
    </row>
    <row r="610" spans="21:30" x14ac:dyDescent="0.25">
      <c r="U610" s="9"/>
      <c r="X610" s="9"/>
      <c r="AA610" s="7"/>
      <c r="AD610" s="7"/>
    </row>
    <row r="611" spans="21:30" x14ac:dyDescent="0.25">
      <c r="U611" s="9"/>
      <c r="X611" s="9"/>
      <c r="AA611" s="7"/>
      <c r="AD611" s="7"/>
    </row>
    <row r="612" spans="21:30" x14ac:dyDescent="0.25">
      <c r="U612" s="9"/>
      <c r="X612" s="9"/>
      <c r="AA612" s="7"/>
      <c r="AD612" s="7"/>
    </row>
    <row r="613" spans="21:30" x14ac:dyDescent="0.25">
      <c r="U613" s="9"/>
      <c r="X613" s="9"/>
      <c r="AA613" s="7"/>
      <c r="AD613" s="7"/>
    </row>
    <row r="614" spans="21:30" x14ac:dyDescent="0.25">
      <c r="U614" s="9"/>
      <c r="X614" s="9"/>
      <c r="AA614" s="7"/>
      <c r="AD614" s="7"/>
    </row>
    <row r="615" spans="21:30" x14ac:dyDescent="0.25">
      <c r="U615" s="9"/>
      <c r="X615" s="9"/>
      <c r="AA615" s="7"/>
      <c r="AD615" s="7"/>
    </row>
    <row r="616" spans="21:30" x14ac:dyDescent="0.25">
      <c r="U616" s="9"/>
      <c r="X616" s="9"/>
      <c r="AA616" s="7"/>
      <c r="AD616" s="7"/>
    </row>
    <row r="617" spans="21:30" x14ac:dyDescent="0.25">
      <c r="U617" s="9"/>
      <c r="X617" s="9"/>
      <c r="AA617" s="7"/>
      <c r="AD617" s="7"/>
    </row>
    <row r="618" spans="21:30" x14ac:dyDescent="0.25">
      <c r="U618" s="9"/>
      <c r="X618" s="9"/>
      <c r="AA618" s="7"/>
      <c r="AD618" s="7"/>
    </row>
    <row r="619" spans="21:30" x14ac:dyDescent="0.25">
      <c r="U619" s="9"/>
      <c r="X619" s="9"/>
      <c r="AA619" s="7"/>
      <c r="AD619" s="7"/>
    </row>
    <row r="620" spans="21:30" x14ac:dyDescent="0.25">
      <c r="U620" s="9"/>
      <c r="X620" s="9"/>
      <c r="AA620" s="7"/>
      <c r="AD620" s="7"/>
    </row>
    <row r="621" spans="21:30" x14ac:dyDescent="0.25">
      <c r="U621" s="9"/>
      <c r="X621" s="9"/>
      <c r="AA621" s="7"/>
      <c r="AD621" s="7"/>
    </row>
    <row r="622" spans="21:30" x14ac:dyDescent="0.25">
      <c r="U622" s="9"/>
      <c r="X622" s="9"/>
      <c r="AA622" s="7"/>
      <c r="AD622" s="7"/>
    </row>
    <row r="623" spans="21:30" x14ac:dyDescent="0.25">
      <c r="U623" s="9"/>
      <c r="X623" s="9"/>
      <c r="AA623" s="7"/>
      <c r="AD623" s="7"/>
    </row>
    <row r="624" spans="21:30" x14ac:dyDescent="0.25">
      <c r="U624" s="9"/>
      <c r="X624" s="9"/>
      <c r="AA624" s="7"/>
      <c r="AD624" s="7"/>
    </row>
    <row r="625" spans="21:30" x14ac:dyDescent="0.25">
      <c r="U625" s="9"/>
      <c r="X625" s="9"/>
      <c r="AA625" s="7"/>
      <c r="AD625" s="7"/>
    </row>
    <row r="626" spans="21:30" x14ac:dyDescent="0.25">
      <c r="U626" s="9"/>
      <c r="X626" s="9"/>
      <c r="AA626" s="7"/>
      <c r="AD626" s="7"/>
    </row>
    <row r="627" spans="21:30" x14ac:dyDescent="0.25">
      <c r="U627" s="9"/>
      <c r="X627" s="9"/>
      <c r="AA627" s="7"/>
      <c r="AD627" s="7"/>
    </row>
    <row r="628" spans="21:30" x14ac:dyDescent="0.25">
      <c r="U628" s="9"/>
      <c r="X628" s="9"/>
      <c r="AA628" s="7"/>
      <c r="AD628" s="7"/>
    </row>
    <row r="629" spans="21:30" x14ac:dyDescent="0.25">
      <c r="U629" s="9"/>
      <c r="X629" s="9"/>
      <c r="AA629" s="7"/>
      <c r="AD629" s="7"/>
    </row>
    <row r="630" spans="21:30" x14ac:dyDescent="0.25">
      <c r="U630" s="9"/>
      <c r="X630" s="9"/>
      <c r="AA630" s="7"/>
      <c r="AD630" s="7"/>
    </row>
    <row r="631" spans="21:30" x14ac:dyDescent="0.25">
      <c r="U631" s="9"/>
      <c r="X631" s="9"/>
      <c r="AA631" s="7"/>
      <c r="AD631" s="7"/>
    </row>
    <row r="632" spans="21:30" x14ac:dyDescent="0.25">
      <c r="U632" s="9"/>
      <c r="X632" s="9"/>
      <c r="AA632" s="7"/>
      <c r="AD632" s="7"/>
    </row>
    <row r="633" spans="21:30" x14ac:dyDescent="0.25">
      <c r="U633" s="9"/>
      <c r="X633" s="9"/>
      <c r="AA633" s="7"/>
      <c r="AD633" s="7"/>
    </row>
    <row r="634" spans="21:30" x14ac:dyDescent="0.25">
      <c r="U634" s="9"/>
      <c r="X634" s="9"/>
      <c r="AA634" s="7"/>
      <c r="AD634" s="7"/>
    </row>
    <row r="635" spans="21:30" x14ac:dyDescent="0.25">
      <c r="U635" s="9"/>
      <c r="X635" s="9"/>
      <c r="AA635" s="7"/>
      <c r="AD635" s="7"/>
    </row>
    <row r="636" spans="21:30" x14ac:dyDescent="0.25">
      <c r="U636" s="9"/>
      <c r="X636" s="9"/>
      <c r="AA636" s="7"/>
      <c r="AD636" s="7"/>
    </row>
    <row r="637" spans="21:30" x14ac:dyDescent="0.25">
      <c r="U637" s="9"/>
      <c r="X637" s="9"/>
      <c r="AA637" s="7"/>
      <c r="AD637" s="7"/>
    </row>
    <row r="638" spans="21:30" x14ac:dyDescent="0.25">
      <c r="U638" s="9"/>
      <c r="X638" s="9"/>
      <c r="AA638" s="7"/>
      <c r="AD638" s="7"/>
    </row>
    <row r="639" spans="21:30" x14ac:dyDescent="0.25">
      <c r="U639" s="9"/>
      <c r="X639" s="9"/>
      <c r="AA639" s="7"/>
      <c r="AD639" s="7"/>
    </row>
    <row r="640" spans="21:30" x14ac:dyDescent="0.25">
      <c r="U640" s="9"/>
      <c r="X640" s="9"/>
      <c r="AA640" s="7"/>
      <c r="AD640" s="7"/>
    </row>
    <row r="641" spans="21:30" x14ac:dyDescent="0.25">
      <c r="U641" s="9"/>
      <c r="X641" s="9"/>
      <c r="AA641" s="7"/>
      <c r="AD641" s="7"/>
    </row>
    <row r="642" spans="21:30" x14ac:dyDescent="0.25">
      <c r="U642" s="9"/>
      <c r="X642" s="9"/>
      <c r="AA642" s="7"/>
      <c r="AD642" s="7"/>
    </row>
    <row r="643" spans="21:30" x14ac:dyDescent="0.25">
      <c r="U643" s="9"/>
      <c r="X643" s="9"/>
      <c r="AA643" s="7"/>
      <c r="AD643" s="7"/>
    </row>
    <row r="644" spans="21:30" x14ac:dyDescent="0.25">
      <c r="U644" s="9"/>
      <c r="X644" s="9"/>
      <c r="AA644" s="7"/>
      <c r="AD644" s="7"/>
    </row>
    <row r="645" spans="21:30" x14ac:dyDescent="0.25">
      <c r="U645" s="9"/>
      <c r="X645" s="9"/>
      <c r="AA645" s="7"/>
      <c r="AD645" s="7"/>
    </row>
    <row r="646" spans="21:30" x14ac:dyDescent="0.25">
      <c r="U646" s="9"/>
      <c r="X646" s="9"/>
      <c r="AA646" s="7"/>
      <c r="AD646" s="7"/>
    </row>
    <row r="647" spans="21:30" x14ac:dyDescent="0.25">
      <c r="U647" s="9"/>
      <c r="X647" s="9"/>
      <c r="AA647" s="7"/>
      <c r="AD647" s="7"/>
    </row>
    <row r="648" spans="21:30" x14ac:dyDescent="0.25">
      <c r="U648" s="9"/>
      <c r="X648" s="9"/>
      <c r="AA648" s="7"/>
      <c r="AD648" s="7"/>
    </row>
    <row r="649" spans="21:30" x14ac:dyDescent="0.25">
      <c r="U649" s="9"/>
      <c r="X649" s="9"/>
      <c r="AA649" s="7"/>
      <c r="AD649" s="7"/>
    </row>
    <row r="650" spans="21:30" x14ac:dyDescent="0.25">
      <c r="U650" s="9"/>
      <c r="X650" s="9"/>
      <c r="AA650" s="7"/>
      <c r="AD650" s="7"/>
    </row>
    <row r="651" spans="21:30" x14ac:dyDescent="0.25">
      <c r="U651" s="9"/>
      <c r="X651" s="9"/>
      <c r="AA651" s="7"/>
      <c r="AD651" s="7"/>
    </row>
    <row r="652" spans="21:30" x14ac:dyDescent="0.25">
      <c r="U652" s="9"/>
      <c r="X652" s="9"/>
      <c r="AA652" s="7"/>
      <c r="AD652" s="7"/>
    </row>
    <row r="653" spans="21:30" x14ac:dyDescent="0.25">
      <c r="U653" s="9"/>
      <c r="X653" s="9"/>
      <c r="AA653" s="7"/>
      <c r="AD653" s="7"/>
    </row>
    <row r="654" spans="21:30" x14ac:dyDescent="0.25">
      <c r="U654" s="9"/>
      <c r="X654" s="9"/>
      <c r="AA654" s="7"/>
      <c r="AD654" s="7"/>
    </row>
    <row r="655" spans="21:30" x14ac:dyDescent="0.25">
      <c r="U655" s="9"/>
      <c r="X655" s="9"/>
      <c r="AA655" s="7"/>
      <c r="AD655" s="7"/>
    </row>
    <row r="656" spans="21:30" x14ac:dyDescent="0.25">
      <c r="U656" s="9"/>
      <c r="X656" s="9"/>
      <c r="AA656" s="7"/>
      <c r="AD656" s="7"/>
    </row>
    <row r="657" spans="21:30" x14ac:dyDescent="0.25">
      <c r="U657" s="9"/>
      <c r="X657" s="9"/>
      <c r="AA657" s="7"/>
      <c r="AD657" s="7"/>
    </row>
    <row r="658" spans="21:30" x14ac:dyDescent="0.25">
      <c r="U658" s="9"/>
      <c r="X658" s="9"/>
      <c r="AA658" s="7"/>
      <c r="AD658" s="7"/>
    </row>
    <row r="659" spans="21:30" x14ac:dyDescent="0.25">
      <c r="U659" s="9"/>
      <c r="X659" s="9"/>
      <c r="AA659" s="7"/>
      <c r="AD659" s="7"/>
    </row>
    <row r="660" spans="21:30" x14ac:dyDescent="0.25">
      <c r="U660" s="9"/>
      <c r="X660" s="9"/>
      <c r="AA660" s="7"/>
      <c r="AD660" s="7"/>
    </row>
    <row r="661" spans="21:30" x14ac:dyDescent="0.25">
      <c r="U661" s="9"/>
      <c r="X661" s="9"/>
      <c r="AA661" s="7"/>
      <c r="AD661" s="7"/>
    </row>
    <row r="662" spans="21:30" x14ac:dyDescent="0.25">
      <c r="U662" s="9"/>
      <c r="X662" s="9"/>
      <c r="AA662" s="7"/>
      <c r="AD662" s="7"/>
    </row>
    <row r="663" spans="21:30" x14ac:dyDescent="0.25">
      <c r="U663" s="9"/>
      <c r="X663" s="9"/>
      <c r="AA663" s="7"/>
      <c r="AD663" s="7"/>
    </row>
    <row r="664" spans="21:30" x14ac:dyDescent="0.25">
      <c r="U664" s="9"/>
      <c r="X664" s="9"/>
      <c r="AA664" s="7"/>
      <c r="AD664" s="7"/>
    </row>
    <row r="665" spans="21:30" x14ac:dyDescent="0.25">
      <c r="U665" s="9"/>
      <c r="X665" s="9"/>
      <c r="AA665" s="7"/>
      <c r="AD665" s="7"/>
    </row>
    <row r="666" spans="21:30" x14ac:dyDescent="0.25">
      <c r="U666" s="9"/>
      <c r="X666" s="9"/>
      <c r="AA666" s="7"/>
      <c r="AD666" s="7"/>
    </row>
    <row r="667" spans="21:30" x14ac:dyDescent="0.25">
      <c r="U667" s="9"/>
      <c r="X667" s="9"/>
      <c r="AA667" s="7"/>
      <c r="AD667" s="7"/>
    </row>
    <row r="668" spans="21:30" x14ac:dyDescent="0.25">
      <c r="U668" s="9"/>
      <c r="X668" s="9"/>
      <c r="AA668" s="7"/>
      <c r="AD668" s="7"/>
    </row>
    <row r="669" spans="21:30" x14ac:dyDescent="0.25">
      <c r="U669" s="9"/>
      <c r="X669" s="9"/>
      <c r="AA669" s="7"/>
      <c r="AD669" s="7"/>
    </row>
    <row r="670" spans="21:30" x14ac:dyDescent="0.25">
      <c r="U670" s="9"/>
      <c r="X670" s="9"/>
      <c r="AA670" s="7"/>
      <c r="AD670" s="7"/>
    </row>
    <row r="671" spans="21:30" x14ac:dyDescent="0.25">
      <c r="U671" s="9"/>
      <c r="X671" s="9"/>
      <c r="AA671" s="7"/>
      <c r="AD671" s="7"/>
    </row>
    <row r="672" spans="21:30" x14ac:dyDescent="0.25">
      <c r="U672" s="9"/>
      <c r="X672" s="9"/>
      <c r="AA672" s="7"/>
      <c r="AD672" s="7"/>
    </row>
    <row r="673" spans="21:30" x14ac:dyDescent="0.25">
      <c r="U673" s="9"/>
      <c r="X673" s="9"/>
      <c r="AA673" s="7"/>
      <c r="AD673" s="7"/>
    </row>
    <row r="674" spans="21:30" x14ac:dyDescent="0.25">
      <c r="U674" s="9"/>
      <c r="X674" s="9"/>
      <c r="AA674" s="7"/>
      <c r="AD674" s="7"/>
    </row>
    <row r="675" spans="21:30" x14ac:dyDescent="0.25">
      <c r="U675" s="9"/>
      <c r="X675" s="9"/>
      <c r="AA675" s="7"/>
      <c r="AD675" s="7"/>
    </row>
    <row r="676" spans="21:30" x14ac:dyDescent="0.25">
      <c r="U676" s="9"/>
      <c r="X676" s="9"/>
      <c r="AA676" s="7"/>
      <c r="AD676" s="7"/>
    </row>
    <row r="677" spans="21:30" x14ac:dyDescent="0.25">
      <c r="U677" s="9"/>
      <c r="X677" s="9"/>
      <c r="AA677" s="7"/>
      <c r="AD677" s="7"/>
    </row>
    <row r="678" spans="21:30" x14ac:dyDescent="0.25">
      <c r="U678" s="9"/>
      <c r="X678" s="9"/>
      <c r="AA678" s="7"/>
      <c r="AD678" s="7"/>
    </row>
    <row r="679" spans="21:30" x14ac:dyDescent="0.25">
      <c r="U679" s="9"/>
      <c r="X679" s="9"/>
      <c r="AA679" s="7"/>
      <c r="AD679" s="7"/>
    </row>
    <row r="680" spans="21:30" x14ac:dyDescent="0.25">
      <c r="U680" s="9"/>
      <c r="X680" s="9"/>
      <c r="AA680" s="7"/>
      <c r="AD680" s="7"/>
    </row>
    <row r="681" spans="21:30" x14ac:dyDescent="0.25">
      <c r="U681" s="9"/>
      <c r="X681" s="9"/>
      <c r="AA681" s="7"/>
      <c r="AD681" s="7"/>
    </row>
    <row r="682" spans="21:30" x14ac:dyDescent="0.25">
      <c r="U682" s="9"/>
      <c r="X682" s="9"/>
      <c r="AA682" s="7"/>
      <c r="AD682" s="7"/>
    </row>
    <row r="683" spans="21:30" x14ac:dyDescent="0.25">
      <c r="U683" s="9"/>
      <c r="X683" s="9"/>
      <c r="AA683" s="7"/>
      <c r="AD683" s="7"/>
    </row>
    <row r="684" spans="21:30" x14ac:dyDescent="0.25">
      <c r="U684" s="9"/>
      <c r="X684" s="9"/>
      <c r="AA684" s="7"/>
      <c r="AD684" s="7"/>
    </row>
    <row r="685" spans="21:30" x14ac:dyDescent="0.25">
      <c r="U685" s="9"/>
      <c r="X685" s="9"/>
      <c r="AA685" s="7"/>
      <c r="AD685" s="7"/>
    </row>
    <row r="686" spans="21:30" x14ac:dyDescent="0.25">
      <c r="U686" s="9"/>
      <c r="X686" s="9"/>
      <c r="AA686" s="7"/>
      <c r="AD686" s="7"/>
    </row>
    <row r="687" spans="21:30" x14ac:dyDescent="0.25">
      <c r="U687" s="9"/>
      <c r="X687" s="9"/>
      <c r="AA687" s="7"/>
      <c r="AD687" s="7"/>
    </row>
    <row r="688" spans="21:30" x14ac:dyDescent="0.25">
      <c r="U688" s="9"/>
      <c r="X688" s="9"/>
      <c r="AA688" s="7"/>
      <c r="AD688" s="7"/>
    </row>
    <row r="689" spans="21:30" x14ac:dyDescent="0.25">
      <c r="U689" s="9"/>
      <c r="X689" s="9"/>
      <c r="AA689" s="7"/>
      <c r="AD689" s="7"/>
    </row>
    <row r="690" spans="21:30" x14ac:dyDescent="0.25">
      <c r="U690" s="9"/>
      <c r="X690" s="9"/>
      <c r="AA690" s="7"/>
      <c r="AD690" s="7"/>
    </row>
    <row r="691" spans="21:30" x14ac:dyDescent="0.25">
      <c r="U691" s="9"/>
      <c r="X691" s="9"/>
      <c r="AA691" s="7"/>
      <c r="AD691" s="7"/>
    </row>
    <row r="692" spans="21:30" x14ac:dyDescent="0.25">
      <c r="U692" s="9"/>
      <c r="X692" s="9"/>
      <c r="AA692" s="7"/>
      <c r="AD692" s="7"/>
    </row>
    <row r="693" spans="21:30" x14ac:dyDescent="0.25">
      <c r="U693" s="9"/>
      <c r="X693" s="9"/>
      <c r="AA693" s="7"/>
      <c r="AD693" s="7"/>
    </row>
    <row r="694" spans="21:30" x14ac:dyDescent="0.25">
      <c r="U694" s="9"/>
      <c r="X694" s="9"/>
      <c r="AA694" s="7"/>
      <c r="AD694" s="7"/>
    </row>
    <row r="695" spans="21:30" x14ac:dyDescent="0.25">
      <c r="U695" s="9"/>
      <c r="X695" s="9"/>
      <c r="AA695" s="7"/>
      <c r="AD695" s="7"/>
    </row>
    <row r="696" spans="21:30" x14ac:dyDescent="0.25">
      <c r="U696" s="9"/>
      <c r="X696" s="9"/>
      <c r="AA696" s="7"/>
      <c r="AD696" s="7"/>
    </row>
    <row r="697" spans="21:30" x14ac:dyDescent="0.25">
      <c r="U697" s="9"/>
      <c r="X697" s="9"/>
      <c r="AA697" s="7"/>
      <c r="AD697" s="7"/>
    </row>
    <row r="698" spans="21:30" x14ac:dyDescent="0.25">
      <c r="U698" s="9"/>
      <c r="X698" s="9"/>
      <c r="AA698" s="7"/>
      <c r="AD698" s="7"/>
    </row>
    <row r="699" spans="21:30" x14ac:dyDescent="0.25">
      <c r="U699" s="9"/>
      <c r="X699" s="9"/>
      <c r="AA699" s="7"/>
      <c r="AD699" s="7"/>
    </row>
    <row r="700" spans="21:30" x14ac:dyDescent="0.25">
      <c r="U700" s="9"/>
      <c r="X700" s="9"/>
      <c r="AA700" s="7"/>
      <c r="AD700" s="7"/>
    </row>
    <row r="701" spans="21:30" x14ac:dyDescent="0.25">
      <c r="U701" s="9"/>
      <c r="X701" s="9"/>
      <c r="AA701" s="7"/>
      <c r="AD701" s="7"/>
    </row>
    <row r="702" spans="21:30" x14ac:dyDescent="0.25">
      <c r="U702" s="9"/>
      <c r="X702" s="9"/>
      <c r="AA702" s="7"/>
      <c r="AD702" s="7"/>
    </row>
    <row r="703" spans="21:30" x14ac:dyDescent="0.25">
      <c r="U703" s="9"/>
      <c r="X703" s="9"/>
      <c r="AA703" s="7"/>
      <c r="AD703" s="7"/>
    </row>
    <row r="704" spans="21:30" x14ac:dyDescent="0.25">
      <c r="U704" s="9"/>
      <c r="X704" s="9"/>
      <c r="AA704" s="7"/>
      <c r="AD704" s="7"/>
    </row>
    <row r="705" spans="21:30" x14ac:dyDescent="0.25">
      <c r="U705" s="9"/>
      <c r="X705" s="9"/>
      <c r="AA705" s="7"/>
      <c r="AD705" s="7"/>
    </row>
    <row r="706" spans="21:30" x14ac:dyDescent="0.25">
      <c r="U706" s="9"/>
      <c r="X706" s="9"/>
      <c r="AA706" s="7"/>
      <c r="AD706" s="7"/>
    </row>
    <row r="707" spans="21:30" x14ac:dyDescent="0.25">
      <c r="U707" s="9"/>
      <c r="X707" s="9"/>
      <c r="AA707" s="7"/>
      <c r="AD707" s="7"/>
    </row>
    <row r="708" spans="21:30" x14ac:dyDescent="0.25">
      <c r="U708" s="9"/>
      <c r="X708" s="9"/>
      <c r="AA708" s="7"/>
      <c r="AD708" s="7"/>
    </row>
    <row r="709" spans="21:30" x14ac:dyDescent="0.25">
      <c r="U709" s="9"/>
      <c r="X709" s="9"/>
      <c r="AA709" s="7"/>
      <c r="AD709" s="7"/>
    </row>
    <row r="710" spans="21:30" x14ac:dyDescent="0.25">
      <c r="U710" s="9"/>
      <c r="X710" s="9"/>
      <c r="AA710" s="7"/>
      <c r="AD710" s="7"/>
    </row>
    <row r="711" spans="21:30" x14ac:dyDescent="0.25">
      <c r="U711" s="9"/>
      <c r="X711" s="9"/>
      <c r="AA711" s="7"/>
      <c r="AD711" s="7"/>
    </row>
    <row r="712" spans="21:30" x14ac:dyDescent="0.25">
      <c r="U712" s="9"/>
      <c r="X712" s="9"/>
      <c r="AA712" s="7"/>
      <c r="AD712" s="7"/>
    </row>
    <row r="713" spans="21:30" x14ac:dyDescent="0.25">
      <c r="U713" s="9"/>
      <c r="X713" s="9"/>
      <c r="AA713" s="7"/>
      <c r="AD713" s="7"/>
    </row>
    <row r="714" spans="21:30" x14ac:dyDescent="0.25">
      <c r="U714" s="9"/>
      <c r="X714" s="9"/>
      <c r="AA714" s="7"/>
      <c r="AD714" s="7"/>
    </row>
    <row r="715" spans="21:30" x14ac:dyDescent="0.25">
      <c r="U715" s="9"/>
      <c r="X715" s="9"/>
      <c r="AA715" s="7"/>
      <c r="AD715" s="7"/>
    </row>
    <row r="716" spans="21:30" x14ac:dyDescent="0.25">
      <c r="U716" s="9"/>
      <c r="X716" s="9"/>
      <c r="AA716" s="7"/>
      <c r="AD716" s="7"/>
    </row>
    <row r="717" spans="21:30" x14ac:dyDescent="0.25">
      <c r="U717" s="9"/>
      <c r="X717" s="9"/>
      <c r="AA717" s="7"/>
      <c r="AD717" s="7"/>
    </row>
    <row r="718" spans="21:30" x14ac:dyDescent="0.25">
      <c r="U718" s="9"/>
      <c r="X718" s="9"/>
      <c r="AA718" s="7"/>
      <c r="AD718" s="7"/>
    </row>
    <row r="719" spans="21:30" x14ac:dyDescent="0.25">
      <c r="U719" s="9"/>
      <c r="X719" s="9"/>
      <c r="AA719" s="7"/>
      <c r="AD719" s="7"/>
    </row>
    <row r="720" spans="21:30" x14ac:dyDescent="0.25">
      <c r="U720" s="9"/>
      <c r="X720" s="9"/>
      <c r="AA720" s="7"/>
      <c r="AD720" s="7"/>
    </row>
    <row r="721" spans="21:30" x14ac:dyDescent="0.25">
      <c r="U721" s="9"/>
      <c r="X721" s="9"/>
      <c r="AA721" s="7"/>
      <c r="AD721" s="7"/>
    </row>
    <row r="722" spans="21:30" x14ac:dyDescent="0.25">
      <c r="U722" s="9"/>
      <c r="X722" s="9"/>
      <c r="AA722" s="7"/>
      <c r="AD722" s="7"/>
    </row>
    <row r="723" spans="21:30" x14ac:dyDescent="0.25">
      <c r="U723" s="9"/>
      <c r="X723" s="9"/>
      <c r="AA723" s="7"/>
      <c r="AD723" s="7"/>
    </row>
    <row r="724" spans="21:30" x14ac:dyDescent="0.25">
      <c r="U724" s="9"/>
      <c r="X724" s="9"/>
      <c r="AA724" s="7"/>
      <c r="AD724" s="7"/>
    </row>
    <row r="725" spans="21:30" x14ac:dyDescent="0.25">
      <c r="U725" s="9"/>
      <c r="X725" s="9"/>
      <c r="AA725" s="7"/>
      <c r="AD725" s="7"/>
    </row>
    <row r="726" spans="21:30" x14ac:dyDescent="0.25">
      <c r="U726" s="9"/>
      <c r="X726" s="9"/>
      <c r="AA726" s="7"/>
      <c r="AD726" s="7"/>
    </row>
    <row r="727" spans="21:30" x14ac:dyDescent="0.25">
      <c r="U727" s="9"/>
      <c r="X727" s="9"/>
      <c r="AA727" s="7"/>
      <c r="AD727" s="7"/>
    </row>
    <row r="728" spans="21:30" x14ac:dyDescent="0.25">
      <c r="U728" s="9"/>
      <c r="X728" s="9"/>
      <c r="AA728" s="7"/>
      <c r="AD728" s="7"/>
    </row>
    <row r="729" spans="21:30" x14ac:dyDescent="0.25">
      <c r="U729" s="9"/>
      <c r="X729" s="9"/>
      <c r="AA729" s="7"/>
      <c r="AD729" s="7"/>
    </row>
    <row r="730" spans="21:30" x14ac:dyDescent="0.25">
      <c r="U730" s="9"/>
      <c r="X730" s="9"/>
      <c r="AA730" s="7"/>
      <c r="AD730" s="7"/>
    </row>
    <row r="731" spans="21:30" x14ac:dyDescent="0.25">
      <c r="U731" s="9"/>
      <c r="X731" s="9"/>
      <c r="AA731" s="7"/>
      <c r="AD731" s="7"/>
    </row>
    <row r="732" spans="21:30" x14ac:dyDescent="0.25">
      <c r="U732" s="9"/>
      <c r="X732" s="9"/>
      <c r="AA732" s="7"/>
      <c r="AD732" s="7"/>
    </row>
    <row r="733" spans="21:30" x14ac:dyDescent="0.25">
      <c r="U733" s="9"/>
      <c r="X733" s="9"/>
      <c r="AA733" s="7"/>
      <c r="AD733" s="7"/>
    </row>
    <row r="734" spans="21:30" x14ac:dyDescent="0.25">
      <c r="U734" s="9"/>
      <c r="X734" s="9"/>
      <c r="AA734" s="7"/>
      <c r="AD734" s="7"/>
    </row>
    <row r="735" spans="21:30" x14ac:dyDescent="0.25">
      <c r="U735" s="9"/>
      <c r="X735" s="9"/>
      <c r="AA735" s="7"/>
      <c r="AD735" s="7"/>
    </row>
    <row r="736" spans="21:30" x14ac:dyDescent="0.25">
      <c r="U736" s="9"/>
      <c r="X736" s="9"/>
      <c r="AA736" s="7"/>
      <c r="AD736" s="7"/>
    </row>
    <row r="737" spans="21:30" x14ac:dyDescent="0.25">
      <c r="U737" s="9"/>
      <c r="X737" s="9"/>
      <c r="AA737" s="7"/>
      <c r="AD737" s="7"/>
    </row>
    <row r="738" spans="21:30" x14ac:dyDescent="0.25">
      <c r="U738" s="9"/>
      <c r="X738" s="9"/>
      <c r="AA738" s="7"/>
      <c r="AD738" s="7"/>
    </row>
    <row r="739" spans="21:30" x14ac:dyDescent="0.25">
      <c r="U739" s="9"/>
      <c r="X739" s="9"/>
      <c r="AA739" s="7"/>
      <c r="AD739" s="7"/>
    </row>
    <row r="740" spans="21:30" x14ac:dyDescent="0.25">
      <c r="U740" s="9"/>
      <c r="X740" s="9"/>
      <c r="AA740" s="7"/>
      <c r="AD740" s="7"/>
    </row>
    <row r="741" spans="21:30" x14ac:dyDescent="0.25">
      <c r="U741" s="9"/>
      <c r="X741" s="9"/>
      <c r="AA741" s="7"/>
      <c r="AD741" s="7"/>
    </row>
    <row r="742" spans="21:30" x14ac:dyDescent="0.25">
      <c r="U742" s="9"/>
      <c r="X742" s="9"/>
      <c r="AA742" s="7"/>
      <c r="AD742" s="7"/>
    </row>
    <row r="743" spans="21:30" x14ac:dyDescent="0.25">
      <c r="U743" s="9"/>
      <c r="X743" s="9"/>
      <c r="AA743" s="7"/>
      <c r="AD743" s="7"/>
    </row>
    <row r="744" spans="21:30" x14ac:dyDescent="0.25">
      <c r="U744" s="9"/>
      <c r="X744" s="9"/>
      <c r="AA744" s="7"/>
      <c r="AD744" s="7"/>
    </row>
    <row r="745" spans="21:30" x14ac:dyDescent="0.25">
      <c r="U745" s="9"/>
      <c r="X745" s="9"/>
      <c r="AA745" s="7"/>
      <c r="AD745" s="7"/>
    </row>
    <row r="746" spans="21:30" x14ac:dyDescent="0.25">
      <c r="U746" s="9"/>
      <c r="X746" s="9"/>
      <c r="AA746" s="7"/>
      <c r="AD746" s="7"/>
    </row>
    <row r="747" spans="21:30" x14ac:dyDescent="0.25">
      <c r="U747" s="9"/>
      <c r="X747" s="9"/>
      <c r="AA747" s="7"/>
      <c r="AD747" s="7"/>
    </row>
    <row r="748" spans="21:30" x14ac:dyDescent="0.25">
      <c r="U748" s="9"/>
      <c r="X748" s="9"/>
      <c r="AA748" s="7"/>
      <c r="AD748" s="7"/>
    </row>
    <row r="749" spans="21:30" x14ac:dyDescent="0.25">
      <c r="U749" s="9"/>
      <c r="X749" s="9"/>
      <c r="AA749" s="7"/>
      <c r="AD749" s="7"/>
    </row>
    <row r="750" spans="21:30" x14ac:dyDescent="0.25">
      <c r="U750" s="9"/>
      <c r="X750" s="9"/>
      <c r="AA750" s="7"/>
      <c r="AD750" s="7"/>
    </row>
    <row r="751" spans="21:30" x14ac:dyDescent="0.25">
      <c r="U751" s="9"/>
      <c r="X751" s="9"/>
      <c r="AA751" s="7"/>
      <c r="AD751" s="7"/>
    </row>
    <row r="752" spans="21:30" x14ac:dyDescent="0.25">
      <c r="U752" s="9"/>
      <c r="X752" s="9"/>
      <c r="AA752" s="7"/>
      <c r="AD752" s="7"/>
    </row>
    <row r="753" spans="21:30" x14ac:dyDescent="0.25">
      <c r="U753" s="9"/>
      <c r="X753" s="9"/>
      <c r="AA753" s="7"/>
      <c r="AD753" s="7"/>
    </row>
    <row r="754" spans="21:30" x14ac:dyDescent="0.25">
      <c r="U754" s="9"/>
      <c r="X754" s="9"/>
      <c r="AA754" s="7"/>
      <c r="AD754" s="7"/>
    </row>
    <row r="755" spans="21:30" x14ac:dyDescent="0.25">
      <c r="U755" s="9"/>
      <c r="X755" s="9"/>
      <c r="AA755" s="7"/>
      <c r="AD755" s="7"/>
    </row>
    <row r="756" spans="21:30" x14ac:dyDescent="0.25">
      <c r="U756" s="9"/>
      <c r="X756" s="9"/>
      <c r="AA756" s="7"/>
      <c r="AD756" s="7"/>
    </row>
    <row r="757" spans="21:30" x14ac:dyDescent="0.25">
      <c r="U757" s="9"/>
      <c r="X757" s="9"/>
      <c r="AA757" s="7"/>
      <c r="AD757" s="7"/>
    </row>
    <row r="758" spans="21:30" x14ac:dyDescent="0.25">
      <c r="U758" s="9"/>
      <c r="X758" s="9"/>
      <c r="AA758" s="7"/>
      <c r="AD758" s="7"/>
    </row>
    <row r="759" spans="21:30" x14ac:dyDescent="0.25">
      <c r="U759" s="9"/>
      <c r="X759" s="9"/>
      <c r="AA759" s="7"/>
      <c r="AD759" s="7"/>
    </row>
    <row r="760" spans="21:30" x14ac:dyDescent="0.25">
      <c r="U760" s="9"/>
      <c r="X760" s="9"/>
      <c r="AA760" s="7"/>
      <c r="AD760" s="7"/>
    </row>
    <row r="761" spans="21:30" x14ac:dyDescent="0.25">
      <c r="U761" s="9"/>
      <c r="X761" s="9"/>
      <c r="AA761" s="7"/>
      <c r="AD761" s="7"/>
    </row>
    <row r="762" spans="21:30" x14ac:dyDescent="0.25">
      <c r="U762" s="9"/>
      <c r="X762" s="9"/>
      <c r="AA762" s="7"/>
      <c r="AD762" s="7"/>
    </row>
    <row r="763" spans="21:30" x14ac:dyDescent="0.25">
      <c r="U763" s="9"/>
      <c r="X763" s="9"/>
      <c r="AA763" s="7"/>
      <c r="AD763" s="7"/>
    </row>
    <row r="764" spans="21:30" x14ac:dyDescent="0.25">
      <c r="U764" s="9"/>
      <c r="X764" s="9"/>
      <c r="AA764" s="7"/>
      <c r="AD764" s="7"/>
    </row>
    <row r="765" spans="21:30" x14ac:dyDescent="0.25">
      <c r="U765" s="9"/>
      <c r="X765" s="9"/>
      <c r="AA765" s="7"/>
      <c r="AD765" s="7"/>
    </row>
    <row r="766" spans="21:30" x14ac:dyDescent="0.25">
      <c r="U766" s="9"/>
      <c r="X766" s="9"/>
      <c r="AA766" s="7"/>
      <c r="AD766" s="7"/>
    </row>
    <row r="767" spans="21:30" x14ac:dyDescent="0.25">
      <c r="U767" s="9"/>
      <c r="X767" s="9"/>
      <c r="AA767" s="7"/>
      <c r="AD767" s="7"/>
    </row>
    <row r="768" spans="21:30" x14ac:dyDescent="0.25">
      <c r="U768" s="9"/>
      <c r="X768" s="9"/>
      <c r="AA768" s="7"/>
      <c r="AD768" s="7"/>
    </row>
    <row r="769" spans="21:30" x14ac:dyDescent="0.25">
      <c r="U769" s="9"/>
      <c r="X769" s="9"/>
      <c r="AA769" s="7"/>
      <c r="AD769" s="7"/>
    </row>
    <row r="770" spans="21:30" x14ac:dyDescent="0.25">
      <c r="U770" s="9"/>
      <c r="X770" s="9"/>
      <c r="AA770" s="7"/>
      <c r="AD770" s="7"/>
    </row>
    <row r="771" spans="21:30" x14ac:dyDescent="0.25">
      <c r="U771" s="9"/>
      <c r="X771" s="9"/>
      <c r="AA771" s="7"/>
      <c r="AD771" s="7"/>
    </row>
    <row r="772" spans="21:30" x14ac:dyDescent="0.25">
      <c r="U772" s="9"/>
      <c r="X772" s="9"/>
      <c r="AA772" s="7"/>
      <c r="AD772" s="7"/>
    </row>
    <row r="773" spans="21:30" x14ac:dyDescent="0.25">
      <c r="U773" s="9"/>
      <c r="X773" s="9"/>
      <c r="AA773" s="7"/>
      <c r="AD773" s="7"/>
    </row>
    <row r="774" spans="21:30" x14ac:dyDescent="0.25">
      <c r="U774" s="9"/>
      <c r="X774" s="9"/>
      <c r="AA774" s="7"/>
      <c r="AD774" s="7"/>
    </row>
    <row r="775" spans="21:30" x14ac:dyDescent="0.25">
      <c r="U775" s="9"/>
      <c r="X775" s="9"/>
      <c r="AA775" s="7"/>
      <c r="AD775" s="7"/>
    </row>
    <row r="776" spans="21:30" x14ac:dyDescent="0.25">
      <c r="U776" s="9"/>
      <c r="X776" s="9"/>
      <c r="AA776" s="7"/>
      <c r="AD776" s="7"/>
    </row>
    <row r="777" spans="21:30" x14ac:dyDescent="0.25">
      <c r="U777" s="9"/>
      <c r="X777" s="9"/>
      <c r="AA777" s="7"/>
      <c r="AD777" s="7"/>
    </row>
    <row r="778" spans="21:30" x14ac:dyDescent="0.25">
      <c r="U778" s="9"/>
      <c r="X778" s="9"/>
      <c r="AA778" s="7"/>
      <c r="AD778" s="7"/>
    </row>
    <row r="779" spans="21:30" x14ac:dyDescent="0.25">
      <c r="U779" s="9"/>
      <c r="X779" s="9"/>
      <c r="AA779" s="7"/>
      <c r="AD779" s="7"/>
    </row>
    <row r="780" spans="21:30" x14ac:dyDescent="0.25">
      <c r="U780" s="9"/>
      <c r="X780" s="9"/>
      <c r="AA780" s="7"/>
      <c r="AD780" s="7"/>
    </row>
    <row r="781" spans="21:30" x14ac:dyDescent="0.25">
      <c r="U781" s="9"/>
      <c r="X781" s="9"/>
      <c r="AA781" s="7"/>
      <c r="AD781" s="7"/>
    </row>
    <row r="782" spans="21:30" x14ac:dyDescent="0.25">
      <c r="U782" s="9"/>
      <c r="X782" s="9"/>
      <c r="AA782" s="7"/>
      <c r="AD782" s="7"/>
    </row>
    <row r="783" spans="21:30" x14ac:dyDescent="0.25">
      <c r="U783" s="9"/>
      <c r="X783" s="9"/>
      <c r="AA783" s="7"/>
      <c r="AD783" s="7"/>
    </row>
    <row r="784" spans="21:30" x14ac:dyDescent="0.25">
      <c r="U784" s="9"/>
      <c r="X784" s="9"/>
      <c r="AA784" s="7"/>
      <c r="AD784" s="7"/>
    </row>
    <row r="785" spans="21:30" x14ac:dyDescent="0.25">
      <c r="U785" s="9"/>
      <c r="X785" s="9"/>
      <c r="AA785" s="7"/>
      <c r="AD785" s="7"/>
    </row>
    <row r="786" spans="21:30" x14ac:dyDescent="0.25">
      <c r="U786" s="9"/>
      <c r="X786" s="9"/>
      <c r="AA786" s="7"/>
      <c r="AD786" s="7"/>
    </row>
    <row r="787" spans="21:30" x14ac:dyDescent="0.25">
      <c r="U787" s="9"/>
      <c r="X787" s="9"/>
      <c r="AA787" s="7"/>
      <c r="AD787" s="7"/>
    </row>
    <row r="788" spans="21:30" x14ac:dyDescent="0.25">
      <c r="U788" s="9"/>
      <c r="X788" s="9"/>
      <c r="AA788" s="7"/>
      <c r="AD788" s="7"/>
    </row>
    <row r="789" spans="21:30" x14ac:dyDescent="0.25">
      <c r="U789" s="9"/>
      <c r="X789" s="9"/>
      <c r="AA789" s="7"/>
      <c r="AD789" s="7"/>
    </row>
    <row r="790" spans="21:30" x14ac:dyDescent="0.25">
      <c r="U790" s="9"/>
      <c r="X790" s="9"/>
      <c r="AA790" s="7"/>
      <c r="AD790" s="7"/>
    </row>
    <row r="791" spans="21:30" x14ac:dyDescent="0.25">
      <c r="U791" s="9"/>
      <c r="X791" s="9"/>
      <c r="AA791" s="7"/>
      <c r="AD791" s="7"/>
    </row>
    <row r="792" spans="21:30" x14ac:dyDescent="0.25">
      <c r="U792" s="9"/>
      <c r="X792" s="9"/>
      <c r="AA792" s="7"/>
      <c r="AD792" s="7"/>
    </row>
    <row r="793" spans="21:30" x14ac:dyDescent="0.25">
      <c r="U793" s="9"/>
      <c r="X793" s="9"/>
      <c r="AA793" s="7"/>
      <c r="AD793" s="7"/>
    </row>
    <row r="794" spans="21:30" x14ac:dyDescent="0.25">
      <c r="U794" s="9"/>
      <c r="X794" s="9"/>
      <c r="AA794" s="7"/>
      <c r="AD794" s="7"/>
    </row>
    <row r="795" spans="21:30" x14ac:dyDescent="0.25">
      <c r="U795" s="9"/>
      <c r="X795" s="9"/>
      <c r="AA795" s="7"/>
      <c r="AD795" s="7"/>
    </row>
    <row r="796" spans="21:30" x14ac:dyDescent="0.25">
      <c r="U796" s="9"/>
      <c r="X796" s="9"/>
      <c r="AA796" s="7"/>
      <c r="AD796" s="7"/>
    </row>
    <row r="797" spans="21:30" x14ac:dyDescent="0.25">
      <c r="U797" s="9"/>
      <c r="X797" s="9"/>
      <c r="AA797" s="7"/>
      <c r="AD797" s="7"/>
    </row>
    <row r="798" spans="21:30" x14ac:dyDescent="0.25">
      <c r="U798" s="9"/>
      <c r="X798" s="9"/>
      <c r="AA798" s="7"/>
      <c r="AD798" s="7"/>
    </row>
    <row r="799" spans="21:30" x14ac:dyDescent="0.25">
      <c r="U799" s="9"/>
      <c r="X799" s="9"/>
      <c r="AA799" s="7"/>
      <c r="AD799" s="7"/>
    </row>
    <row r="800" spans="21:30" x14ac:dyDescent="0.25">
      <c r="U800" s="9"/>
      <c r="X800" s="9"/>
      <c r="AA800" s="7"/>
      <c r="AD800" s="7"/>
    </row>
    <row r="801" spans="21:30" x14ac:dyDescent="0.25">
      <c r="U801" s="9"/>
      <c r="X801" s="9"/>
      <c r="AA801" s="7"/>
      <c r="AD801" s="7"/>
    </row>
    <row r="802" spans="21:30" x14ac:dyDescent="0.25">
      <c r="U802" s="9"/>
      <c r="X802" s="9"/>
      <c r="AA802" s="7"/>
      <c r="AD802" s="7"/>
    </row>
    <row r="803" spans="21:30" x14ac:dyDescent="0.25">
      <c r="U803" s="9"/>
      <c r="X803" s="9"/>
      <c r="AA803" s="7"/>
      <c r="AD803" s="7"/>
    </row>
    <row r="804" spans="21:30" x14ac:dyDescent="0.25">
      <c r="U804" s="9"/>
      <c r="X804" s="9"/>
      <c r="AA804" s="7"/>
      <c r="AD804" s="7"/>
    </row>
    <row r="805" spans="21:30" x14ac:dyDescent="0.25">
      <c r="U805" s="9"/>
      <c r="X805" s="9"/>
      <c r="AA805" s="7"/>
      <c r="AD805" s="7"/>
    </row>
    <row r="806" spans="21:30" x14ac:dyDescent="0.25">
      <c r="U806" s="9"/>
      <c r="X806" s="9"/>
      <c r="AA806" s="7"/>
      <c r="AD806" s="7"/>
    </row>
    <row r="807" spans="21:30" x14ac:dyDescent="0.25">
      <c r="U807" s="9"/>
      <c r="X807" s="9"/>
      <c r="AA807" s="7"/>
      <c r="AD807" s="7"/>
    </row>
    <row r="808" spans="21:30" x14ac:dyDescent="0.25">
      <c r="U808" s="9"/>
      <c r="X808" s="9"/>
      <c r="AA808" s="7"/>
      <c r="AD808" s="7"/>
    </row>
    <row r="809" spans="21:30" x14ac:dyDescent="0.25">
      <c r="U809" s="9"/>
      <c r="X809" s="9"/>
      <c r="AA809" s="7"/>
      <c r="AD809" s="7"/>
    </row>
    <row r="810" spans="21:30" x14ac:dyDescent="0.25">
      <c r="U810" s="9"/>
      <c r="X810" s="9"/>
      <c r="AA810" s="7"/>
      <c r="AD810" s="7"/>
    </row>
    <row r="811" spans="21:30" x14ac:dyDescent="0.25">
      <c r="U811" s="9"/>
      <c r="X811" s="9"/>
      <c r="AA811" s="7"/>
      <c r="AD811" s="7"/>
    </row>
    <row r="812" spans="21:30" x14ac:dyDescent="0.25">
      <c r="U812" s="9"/>
      <c r="X812" s="9"/>
      <c r="AA812" s="7"/>
      <c r="AD812" s="7"/>
    </row>
    <row r="813" spans="21:30" x14ac:dyDescent="0.25">
      <c r="U813" s="9"/>
      <c r="X813" s="9"/>
      <c r="AA813" s="7"/>
      <c r="AD813" s="7"/>
    </row>
    <row r="814" spans="21:30" x14ac:dyDescent="0.25">
      <c r="U814" s="9"/>
      <c r="X814" s="9"/>
      <c r="AA814" s="7"/>
      <c r="AD814" s="7"/>
    </row>
    <row r="815" spans="21:30" x14ac:dyDescent="0.25">
      <c r="U815" s="9"/>
      <c r="X815" s="9"/>
      <c r="AA815" s="7"/>
      <c r="AD815" s="7"/>
    </row>
    <row r="816" spans="21:30" x14ac:dyDescent="0.25">
      <c r="U816" s="9"/>
      <c r="X816" s="9"/>
      <c r="AA816" s="7"/>
      <c r="AD816" s="7"/>
    </row>
    <row r="817" spans="21:30" x14ac:dyDescent="0.25">
      <c r="U817" s="9"/>
      <c r="X817" s="9"/>
      <c r="AA817" s="7"/>
      <c r="AD817" s="7"/>
    </row>
    <row r="818" spans="21:30" x14ac:dyDescent="0.25">
      <c r="U818" s="9"/>
      <c r="X818" s="9"/>
      <c r="AA818" s="7"/>
      <c r="AD818" s="7"/>
    </row>
    <row r="819" spans="21:30" x14ac:dyDescent="0.25">
      <c r="U819" s="9"/>
      <c r="X819" s="9"/>
      <c r="AA819" s="7"/>
      <c r="AD819" s="7"/>
    </row>
    <row r="820" spans="21:30" x14ac:dyDescent="0.25">
      <c r="U820" s="9"/>
      <c r="X820" s="9"/>
      <c r="AA820" s="7"/>
      <c r="AD820" s="7"/>
    </row>
    <row r="821" spans="21:30" x14ac:dyDescent="0.25">
      <c r="U821" s="9"/>
      <c r="X821" s="9"/>
      <c r="AA821" s="7"/>
      <c r="AD821" s="7"/>
    </row>
    <row r="822" spans="21:30" x14ac:dyDescent="0.25">
      <c r="U822" s="9"/>
      <c r="X822" s="9"/>
      <c r="AA822" s="7"/>
      <c r="AD822" s="7"/>
    </row>
    <row r="823" spans="21:30" x14ac:dyDescent="0.25">
      <c r="U823" s="9"/>
      <c r="X823" s="9"/>
      <c r="AA823" s="7"/>
      <c r="AD823" s="7"/>
    </row>
    <row r="824" spans="21:30" x14ac:dyDescent="0.25">
      <c r="U824" s="9"/>
      <c r="X824" s="9"/>
      <c r="AA824" s="7"/>
      <c r="AD824" s="7"/>
    </row>
    <row r="825" spans="21:30" x14ac:dyDescent="0.25">
      <c r="U825" s="9"/>
      <c r="X825" s="9"/>
      <c r="AA825" s="7"/>
      <c r="AD825" s="7"/>
    </row>
    <row r="826" spans="21:30" x14ac:dyDescent="0.25">
      <c r="U826" s="9"/>
      <c r="X826" s="9"/>
      <c r="AA826" s="7"/>
      <c r="AD826" s="7"/>
    </row>
    <row r="827" spans="21:30" x14ac:dyDescent="0.25">
      <c r="U827" s="9"/>
      <c r="X827" s="9"/>
      <c r="AA827" s="7"/>
      <c r="AD827" s="7"/>
    </row>
    <row r="828" spans="21:30" x14ac:dyDescent="0.25">
      <c r="U828" s="9"/>
      <c r="X828" s="9"/>
      <c r="AA828" s="7"/>
      <c r="AD828" s="7"/>
    </row>
    <row r="829" spans="21:30" x14ac:dyDescent="0.25">
      <c r="U829" s="9"/>
      <c r="X829" s="9"/>
      <c r="AA829" s="7"/>
      <c r="AD829" s="7"/>
    </row>
    <row r="830" spans="21:30" x14ac:dyDescent="0.25">
      <c r="U830" s="9"/>
      <c r="X830" s="9"/>
      <c r="AA830" s="7"/>
      <c r="AD830" s="7"/>
    </row>
    <row r="831" spans="21:30" x14ac:dyDescent="0.25">
      <c r="U831" s="9"/>
      <c r="X831" s="9"/>
      <c r="AA831" s="7"/>
      <c r="AD831" s="7"/>
    </row>
    <row r="832" spans="21:30" x14ac:dyDescent="0.25">
      <c r="U832" s="9"/>
      <c r="X832" s="9"/>
      <c r="AA832" s="7"/>
      <c r="AD832" s="7"/>
    </row>
    <row r="833" spans="21:30" x14ac:dyDescent="0.25">
      <c r="U833" s="9"/>
      <c r="X833" s="9"/>
      <c r="AA833" s="7"/>
      <c r="AD833" s="7"/>
    </row>
    <row r="834" spans="21:30" x14ac:dyDescent="0.25">
      <c r="U834" s="9"/>
      <c r="X834" s="9"/>
      <c r="AA834" s="7"/>
      <c r="AD834" s="7"/>
    </row>
    <row r="835" spans="21:30" x14ac:dyDescent="0.25">
      <c r="U835" s="9"/>
      <c r="X835" s="9"/>
      <c r="AA835" s="7"/>
      <c r="AD835" s="7"/>
    </row>
    <row r="836" spans="21:30" x14ac:dyDescent="0.25">
      <c r="U836" s="9"/>
      <c r="X836" s="9"/>
      <c r="AA836" s="7"/>
      <c r="AD836" s="7"/>
    </row>
    <row r="837" spans="21:30" x14ac:dyDescent="0.25">
      <c r="U837" s="9"/>
      <c r="X837" s="9"/>
      <c r="AA837" s="7"/>
      <c r="AD837" s="7"/>
    </row>
    <row r="838" spans="21:30" x14ac:dyDescent="0.25">
      <c r="U838" s="9"/>
      <c r="X838" s="9"/>
      <c r="AA838" s="7"/>
      <c r="AD838" s="7"/>
    </row>
    <row r="839" spans="21:30" x14ac:dyDescent="0.25">
      <c r="U839" s="9"/>
      <c r="X839" s="9"/>
      <c r="AA839" s="7"/>
      <c r="AD839" s="7"/>
    </row>
    <row r="840" spans="21:30" x14ac:dyDescent="0.25">
      <c r="U840" s="9"/>
      <c r="X840" s="9"/>
      <c r="AA840" s="7"/>
      <c r="AD840" s="7"/>
    </row>
    <row r="841" spans="21:30" x14ac:dyDescent="0.25">
      <c r="U841" s="9"/>
      <c r="X841" s="9"/>
      <c r="AA841" s="7"/>
      <c r="AD841" s="7"/>
    </row>
    <row r="842" spans="21:30" x14ac:dyDescent="0.25">
      <c r="U842" s="9"/>
      <c r="X842" s="9"/>
      <c r="AA842" s="7"/>
      <c r="AD842" s="7"/>
    </row>
    <row r="843" spans="21:30" x14ac:dyDescent="0.25">
      <c r="U843" s="9"/>
      <c r="X843" s="9"/>
      <c r="AA843" s="7"/>
      <c r="AD843" s="7"/>
    </row>
    <row r="844" spans="21:30" x14ac:dyDescent="0.25">
      <c r="U844" s="9"/>
      <c r="X844" s="9"/>
      <c r="AA844" s="7"/>
      <c r="AD844" s="7"/>
    </row>
    <row r="845" spans="21:30" x14ac:dyDescent="0.25">
      <c r="U845" s="9"/>
      <c r="X845" s="9"/>
      <c r="AA845" s="7"/>
      <c r="AD845" s="7"/>
    </row>
    <row r="846" spans="21:30" x14ac:dyDescent="0.25">
      <c r="U846" s="9"/>
      <c r="X846" s="9"/>
      <c r="AA846" s="7"/>
      <c r="AD846" s="7"/>
    </row>
    <row r="847" spans="21:30" x14ac:dyDescent="0.25">
      <c r="U847" s="9"/>
      <c r="X847" s="9"/>
      <c r="AA847" s="7"/>
      <c r="AD847" s="7"/>
    </row>
    <row r="848" spans="21:30" x14ac:dyDescent="0.25">
      <c r="U848" s="9"/>
      <c r="X848" s="9"/>
      <c r="AA848" s="7"/>
      <c r="AD848" s="7"/>
    </row>
    <row r="849" spans="21:30" x14ac:dyDescent="0.25">
      <c r="U849" s="9"/>
      <c r="X849" s="9"/>
      <c r="AA849" s="7"/>
      <c r="AD849" s="7"/>
    </row>
    <row r="850" spans="21:30" x14ac:dyDescent="0.25">
      <c r="U850" s="9"/>
      <c r="X850" s="9"/>
      <c r="AA850" s="7"/>
      <c r="AD850" s="7"/>
    </row>
    <row r="851" spans="21:30" x14ac:dyDescent="0.25">
      <c r="U851" s="9"/>
      <c r="X851" s="9"/>
      <c r="AA851" s="7"/>
      <c r="AD851" s="7"/>
    </row>
    <row r="852" spans="21:30" x14ac:dyDescent="0.25">
      <c r="U852" s="9"/>
      <c r="X852" s="9"/>
      <c r="AA852" s="7"/>
      <c r="AD852" s="7"/>
    </row>
    <row r="853" spans="21:30" x14ac:dyDescent="0.25">
      <c r="U853" s="9"/>
      <c r="X853" s="9"/>
      <c r="AA853" s="7"/>
      <c r="AD853" s="7"/>
    </row>
    <row r="854" spans="21:30" x14ac:dyDescent="0.25">
      <c r="U854" s="9"/>
      <c r="X854" s="9"/>
      <c r="AA854" s="7"/>
      <c r="AD854" s="7"/>
    </row>
    <row r="855" spans="21:30" x14ac:dyDescent="0.25">
      <c r="U855" s="9"/>
      <c r="X855" s="9"/>
      <c r="AA855" s="7"/>
      <c r="AD855" s="7"/>
    </row>
    <row r="856" spans="21:30" x14ac:dyDescent="0.25">
      <c r="U856" s="9"/>
      <c r="X856" s="9"/>
      <c r="AA856" s="7"/>
      <c r="AD856" s="7"/>
    </row>
    <row r="857" spans="21:30" x14ac:dyDescent="0.25">
      <c r="U857" s="9"/>
      <c r="X857" s="9"/>
      <c r="AA857" s="7"/>
      <c r="AD857" s="7"/>
    </row>
    <row r="858" spans="21:30" x14ac:dyDescent="0.25">
      <c r="U858" s="9"/>
      <c r="X858" s="9"/>
      <c r="AA858" s="7"/>
      <c r="AD858" s="7"/>
    </row>
    <row r="859" spans="21:30" x14ac:dyDescent="0.25">
      <c r="U859" s="9"/>
      <c r="X859" s="9"/>
      <c r="AA859" s="7"/>
      <c r="AD859" s="7"/>
    </row>
    <row r="860" spans="21:30" x14ac:dyDescent="0.25">
      <c r="U860" s="9"/>
      <c r="X860" s="9"/>
      <c r="AA860" s="7"/>
      <c r="AD860" s="7"/>
    </row>
    <row r="861" spans="21:30" x14ac:dyDescent="0.25">
      <c r="U861" s="9"/>
      <c r="X861" s="9"/>
      <c r="AA861" s="7"/>
      <c r="AD861" s="7"/>
    </row>
    <row r="862" spans="21:30" x14ac:dyDescent="0.25">
      <c r="U862" s="9"/>
      <c r="X862" s="9"/>
      <c r="AA862" s="7"/>
      <c r="AD862" s="7"/>
    </row>
    <row r="863" spans="21:30" x14ac:dyDescent="0.25">
      <c r="U863" s="9"/>
      <c r="X863" s="9"/>
      <c r="AA863" s="7"/>
      <c r="AD863" s="7"/>
    </row>
    <row r="864" spans="21:30" x14ac:dyDescent="0.25">
      <c r="U864" s="9"/>
      <c r="X864" s="9"/>
      <c r="AA864" s="7"/>
      <c r="AD864" s="7"/>
    </row>
    <row r="865" spans="21:30" x14ac:dyDescent="0.25">
      <c r="U865" s="9"/>
      <c r="X865" s="9"/>
      <c r="AA865" s="7"/>
      <c r="AD865" s="7"/>
    </row>
    <row r="866" spans="21:30" x14ac:dyDescent="0.25">
      <c r="U866" s="9"/>
      <c r="X866" s="9"/>
      <c r="AA866" s="7"/>
      <c r="AD866" s="7"/>
    </row>
    <row r="867" spans="21:30" x14ac:dyDescent="0.25">
      <c r="U867" s="9"/>
      <c r="X867" s="9"/>
      <c r="AA867" s="7"/>
      <c r="AD867" s="7"/>
    </row>
    <row r="868" spans="21:30" x14ac:dyDescent="0.25">
      <c r="U868" s="9"/>
      <c r="X868" s="9"/>
      <c r="AA868" s="7"/>
      <c r="AD868" s="7"/>
    </row>
    <row r="869" spans="21:30" x14ac:dyDescent="0.25">
      <c r="U869" s="9"/>
      <c r="X869" s="9"/>
      <c r="AA869" s="7"/>
      <c r="AD869" s="7"/>
    </row>
    <row r="870" spans="21:30" x14ac:dyDescent="0.25">
      <c r="U870" s="9"/>
      <c r="X870" s="9"/>
      <c r="AA870" s="7"/>
      <c r="AD870" s="7"/>
    </row>
    <row r="871" spans="21:30" x14ac:dyDescent="0.25">
      <c r="U871" s="9"/>
      <c r="X871" s="9"/>
      <c r="AA871" s="7"/>
      <c r="AD871" s="7"/>
    </row>
    <row r="872" spans="21:30" x14ac:dyDescent="0.25">
      <c r="U872" s="9"/>
      <c r="X872" s="9"/>
      <c r="AA872" s="7"/>
      <c r="AD872" s="7"/>
    </row>
    <row r="873" spans="21:30" x14ac:dyDescent="0.25">
      <c r="U873" s="9"/>
      <c r="X873" s="9"/>
      <c r="AA873" s="7"/>
      <c r="AD873" s="7"/>
    </row>
    <row r="874" spans="21:30" x14ac:dyDescent="0.25">
      <c r="U874" s="9"/>
      <c r="X874" s="9"/>
      <c r="AA874" s="7"/>
      <c r="AD874" s="7"/>
    </row>
    <row r="875" spans="21:30" x14ac:dyDescent="0.25">
      <c r="U875" s="9"/>
      <c r="X875" s="9"/>
      <c r="AA875" s="7"/>
      <c r="AD875" s="7"/>
    </row>
    <row r="876" spans="21:30" x14ac:dyDescent="0.25">
      <c r="U876" s="9"/>
      <c r="X876" s="9"/>
      <c r="AA876" s="7"/>
      <c r="AD876" s="7"/>
    </row>
    <row r="877" spans="21:30" x14ac:dyDescent="0.25">
      <c r="U877" s="9"/>
      <c r="X877" s="9"/>
      <c r="AA877" s="7"/>
      <c r="AD877" s="7"/>
    </row>
    <row r="878" spans="21:30" x14ac:dyDescent="0.25">
      <c r="U878" s="9"/>
      <c r="X878" s="9"/>
      <c r="AA878" s="7"/>
      <c r="AD878" s="7"/>
    </row>
    <row r="879" spans="21:30" x14ac:dyDescent="0.25">
      <c r="U879" s="9"/>
      <c r="X879" s="9"/>
      <c r="AA879" s="7"/>
      <c r="AD879" s="7"/>
    </row>
    <row r="880" spans="21:30" x14ac:dyDescent="0.25">
      <c r="U880" s="9"/>
      <c r="X880" s="9"/>
      <c r="AA880" s="7"/>
      <c r="AD880" s="7"/>
    </row>
    <row r="881" spans="21:30" x14ac:dyDescent="0.25">
      <c r="U881" s="9"/>
      <c r="X881" s="9"/>
      <c r="AA881" s="7"/>
      <c r="AD881" s="7"/>
    </row>
    <row r="882" spans="21:30" x14ac:dyDescent="0.25">
      <c r="U882" s="9"/>
      <c r="X882" s="9"/>
      <c r="AA882" s="7"/>
      <c r="AD882" s="7"/>
    </row>
    <row r="883" spans="21:30" x14ac:dyDescent="0.25">
      <c r="U883" s="9"/>
      <c r="X883" s="9"/>
      <c r="AA883" s="7"/>
      <c r="AD883" s="7"/>
    </row>
    <row r="884" spans="21:30" x14ac:dyDescent="0.25">
      <c r="U884" s="9"/>
      <c r="X884" s="9"/>
      <c r="AA884" s="7"/>
      <c r="AD884" s="7"/>
    </row>
    <row r="885" spans="21:30" x14ac:dyDescent="0.25">
      <c r="U885" s="9"/>
      <c r="X885" s="9"/>
      <c r="AA885" s="7"/>
      <c r="AD885" s="7"/>
    </row>
    <row r="886" spans="21:30" x14ac:dyDescent="0.25">
      <c r="U886" s="9"/>
      <c r="X886" s="9"/>
      <c r="AA886" s="7"/>
      <c r="AD886" s="7"/>
    </row>
    <row r="887" spans="21:30" x14ac:dyDescent="0.25">
      <c r="U887" s="9"/>
      <c r="X887" s="9"/>
      <c r="AA887" s="7"/>
      <c r="AD887" s="7"/>
    </row>
    <row r="888" spans="21:30" x14ac:dyDescent="0.25">
      <c r="U888" s="9"/>
      <c r="X888" s="9"/>
      <c r="AA888" s="7"/>
      <c r="AD888" s="7"/>
    </row>
    <row r="889" spans="21:30" x14ac:dyDescent="0.25">
      <c r="U889" s="9"/>
      <c r="X889" s="9"/>
      <c r="AA889" s="7"/>
      <c r="AD889" s="7"/>
    </row>
    <row r="890" spans="21:30" x14ac:dyDescent="0.25">
      <c r="U890" s="9"/>
      <c r="X890" s="9"/>
      <c r="AA890" s="7"/>
      <c r="AD890" s="7"/>
    </row>
    <row r="891" spans="21:30" x14ac:dyDescent="0.25">
      <c r="U891" s="9"/>
      <c r="X891" s="9"/>
      <c r="AA891" s="7"/>
      <c r="AD891" s="7"/>
    </row>
    <row r="892" spans="21:30" x14ac:dyDescent="0.25">
      <c r="U892" s="9"/>
      <c r="X892" s="9"/>
      <c r="AA892" s="7"/>
      <c r="AD892" s="7"/>
    </row>
    <row r="893" spans="21:30" x14ac:dyDescent="0.25">
      <c r="U893" s="9"/>
      <c r="X893" s="9"/>
      <c r="AA893" s="7"/>
      <c r="AD893" s="7"/>
    </row>
    <row r="894" spans="21:30" x14ac:dyDescent="0.25">
      <c r="U894" s="9"/>
      <c r="X894" s="9"/>
      <c r="AA894" s="7"/>
      <c r="AD894" s="7"/>
    </row>
    <row r="895" spans="21:30" x14ac:dyDescent="0.25">
      <c r="U895" s="9"/>
      <c r="X895" s="9"/>
      <c r="AA895" s="7"/>
      <c r="AD895" s="7"/>
    </row>
    <row r="896" spans="21:30" x14ac:dyDescent="0.25">
      <c r="U896" s="9"/>
      <c r="X896" s="9"/>
      <c r="AA896" s="7"/>
      <c r="AD896" s="7"/>
    </row>
    <row r="897" spans="21:30" x14ac:dyDescent="0.25">
      <c r="U897" s="9"/>
      <c r="X897" s="9"/>
      <c r="AA897" s="7"/>
      <c r="AD897" s="7"/>
    </row>
    <row r="898" spans="21:30" x14ac:dyDescent="0.25">
      <c r="U898" s="9"/>
      <c r="X898" s="9"/>
      <c r="AA898" s="7"/>
      <c r="AD898" s="7"/>
    </row>
    <row r="899" spans="21:30" x14ac:dyDescent="0.25">
      <c r="U899" s="9"/>
      <c r="X899" s="9"/>
      <c r="AA899" s="7"/>
      <c r="AD899" s="7"/>
    </row>
    <row r="900" spans="21:30" x14ac:dyDescent="0.25">
      <c r="U900" s="9"/>
      <c r="X900" s="9"/>
      <c r="AA900" s="7"/>
      <c r="AD900" s="7"/>
    </row>
    <row r="901" spans="21:30" x14ac:dyDescent="0.25">
      <c r="U901" s="9"/>
      <c r="X901" s="9"/>
      <c r="AA901" s="7"/>
      <c r="AD901" s="7"/>
    </row>
    <row r="902" spans="21:30" x14ac:dyDescent="0.25">
      <c r="U902" s="9"/>
      <c r="X902" s="9"/>
      <c r="AA902" s="7"/>
      <c r="AD902" s="7"/>
    </row>
    <row r="903" spans="21:30" x14ac:dyDescent="0.25">
      <c r="U903" s="9"/>
      <c r="X903" s="9"/>
      <c r="AA903" s="7"/>
      <c r="AD903" s="7"/>
    </row>
    <row r="904" spans="21:30" x14ac:dyDescent="0.25">
      <c r="U904" s="9"/>
      <c r="X904" s="9"/>
      <c r="AA904" s="7"/>
      <c r="AD904" s="7"/>
    </row>
    <row r="905" spans="21:30" x14ac:dyDescent="0.25">
      <c r="U905" s="9"/>
      <c r="X905" s="9"/>
      <c r="AA905" s="7"/>
      <c r="AD905" s="7"/>
    </row>
    <row r="906" spans="21:30" x14ac:dyDescent="0.25">
      <c r="U906" s="9"/>
      <c r="X906" s="9"/>
      <c r="AA906" s="7"/>
      <c r="AD906" s="7"/>
    </row>
    <row r="907" spans="21:30" x14ac:dyDescent="0.25">
      <c r="U907" s="9"/>
      <c r="X907" s="9"/>
      <c r="AA907" s="7"/>
      <c r="AD907" s="7"/>
    </row>
    <row r="908" spans="21:30" x14ac:dyDescent="0.25">
      <c r="U908" s="9"/>
      <c r="X908" s="9"/>
      <c r="AA908" s="7"/>
      <c r="AD908" s="7"/>
    </row>
    <row r="909" spans="21:30" x14ac:dyDescent="0.25">
      <c r="U909" s="9"/>
      <c r="X909" s="9"/>
      <c r="AA909" s="7"/>
      <c r="AD909" s="7"/>
    </row>
    <row r="910" spans="21:30" x14ac:dyDescent="0.25">
      <c r="U910" s="9"/>
      <c r="X910" s="9"/>
      <c r="AA910" s="7"/>
      <c r="AD910" s="7"/>
    </row>
    <row r="911" spans="21:30" x14ac:dyDescent="0.25">
      <c r="U911" s="9"/>
      <c r="X911" s="9"/>
      <c r="AA911" s="7"/>
      <c r="AD911" s="7"/>
    </row>
    <row r="912" spans="21:30" x14ac:dyDescent="0.25">
      <c r="U912" s="9"/>
      <c r="X912" s="9"/>
      <c r="AA912" s="7"/>
      <c r="AD912" s="7"/>
    </row>
    <row r="913" spans="21:30" x14ac:dyDescent="0.25">
      <c r="U913" s="9"/>
      <c r="X913" s="9"/>
      <c r="AA913" s="7"/>
      <c r="AD913" s="7"/>
    </row>
    <row r="914" spans="21:30" x14ac:dyDescent="0.25">
      <c r="U914" s="9"/>
      <c r="X914" s="9"/>
      <c r="AA914" s="7"/>
      <c r="AD914" s="7"/>
    </row>
    <row r="915" spans="21:30" x14ac:dyDescent="0.25">
      <c r="U915" s="9"/>
      <c r="X915" s="9"/>
      <c r="AA915" s="7"/>
      <c r="AD915" s="7"/>
    </row>
    <row r="916" spans="21:30" x14ac:dyDescent="0.25">
      <c r="U916" s="9"/>
      <c r="X916" s="9"/>
      <c r="AA916" s="7"/>
      <c r="AD916" s="7"/>
    </row>
    <row r="917" spans="21:30" x14ac:dyDescent="0.25">
      <c r="U917" s="9"/>
      <c r="X917" s="9"/>
      <c r="AA917" s="7"/>
      <c r="AD917" s="7"/>
    </row>
    <row r="918" spans="21:30" x14ac:dyDescent="0.25">
      <c r="U918" s="9"/>
      <c r="X918" s="9"/>
      <c r="AA918" s="7"/>
      <c r="AD918" s="7"/>
    </row>
    <row r="919" spans="21:30" x14ac:dyDescent="0.25">
      <c r="U919" s="9"/>
      <c r="X919" s="9"/>
      <c r="AA919" s="7"/>
      <c r="AD919" s="7"/>
    </row>
    <row r="920" spans="21:30" x14ac:dyDescent="0.25">
      <c r="U920" s="9"/>
      <c r="X920" s="9"/>
      <c r="AA920" s="7"/>
      <c r="AD920" s="7"/>
    </row>
    <row r="921" spans="21:30" x14ac:dyDescent="0.25">
      <c r="U921" s="9"/>
      <c r="X921" s="9"/>
      <c r="AA921" s="7"/>
      <c r="AD921" s="7"/>
    </row>
    <row r="922" spans="21:30" x14ac:dyDescent="0.25">
      <c r="U922" s="9"/>
      <c r="X922" s="9"/>
      <c r="AA922" s="7"/>
      <c r="AD922" s="7"/>
    </row>
    <row r="923" spans="21:30" x14ac:dyDescent="0.25">
      <c r="U923" s="9"/>
      <c r="X923" s="9"/>
      <c r="AA923" s="7"/>
      <c r="AD923" s="7"/>
    </row>
    <row r="924" spans="21:30" x14ac:dyDescent="0.25">
      <c r="U924" s="9"/>
      <c r="X924" s="9"/>
      <c r="AA924" s="7"/>
      <c r="AD924" s="7"/>
    </row>
    <row r="925" spans="21:30" x14ac:dyDescent="0.25">
      <c r="U925" s="9"/>
      <c r="X925" s="9"/>
      <c r="AA925" s="7"/>
      <c r="AD925" s="7"/>
    </row>
    <row r="926" spans="21:30" x14ac:dyDescent="0.25">
      <c r="U926" s="9"/>
      <c r="X926" s="9"/>
      <c r="AA926" s="7"/>
      <c r="AD926" s="7"/>
    </row>
    <row r="927" spans="21:30" x14ac:dyDescent="0.25">
      <c r="U927" s="9"/>
      <c r="X927" s="9"/>
      <c r="AA927" s="7"/>
      <c r="AD927" s="7"/>
    </row>
    <row r="928" spans="21:30" x14ac:dyDescent="0.25">
      <c r="U928" s="9"/>
      <c r="X928" s="9"/>
      <c r="AA928" s="7"/>
      <c r="AD928" s="7"/>
    </row>
    <row r="929" spans="21:30" x14ac:dyDescent="0.25">
      <c r="U929" s="9"/>
      <c r="X929" s="9"/>
      <c r="AA929" s="7"/>
      <c r="AD929" s="7"/>
    </row>
    <row r="930" spans="21:30" x14ac:dyDescent="0.25">
      <c r="U930" s="9"/>
      <c r="X930" s="9"/>
      <c r="AA930" s="7"/>
      <c r="AD930" s="7"/>
    </row>
    <row r="931" spans="21:30" x14ac:dyDescent="0.25">
      <c r="U931" s="9"/>
      <c r="X931" s="9"/>
      <c r="AA931" s="7"/>
      <c r="AD931" s="7"/>
    </row>
    <row r="932" spans="21:30" x14ac:dyDescent="0.25">
      <c r="U932" s="9"/>
      <c r="X932" s="9"/>
      <c r="AA932" s="7"/>
      <c r="AD932" s="7"/>
    </row>
    <row r="933" spans="21:30" x14ac:dyDescent="0.25">
      <c r="U933" s="9"/>
      <c r="X933" s="9"/>
      <c r="AA933" s="7"/>
      <c r="AD933" s="7"/>
    </row>
    <row r="934" spans="21:30" x14ac:dyDescent="0.25">
      <c r="U934" s="9"/>
      <c r="X934" s="9"/>
      <c r="AA934" s="7"/>
      <c r="AD934" s="7"/>
    </row>
    <row r="935" spans="21:30" x14ac:dyDescent="0.25">
      <c r="U935" s="9"/>
      <c r="X935" s="9"/>
      <c r="AA935" s="7"/>
      <c r="AD935" s="7"/>
    </row>
    <row r="936" spans="21:30" x14ac:dyDescent="0.25">
      <c r="U936" s="9"/>
      <c r="X936" s="9"/>
      <c r="AA936" s="7"/>
      <c r="AD936" s="7"/>
    </row>
    <row r="937" spans="21:30" x14ac:dyDescent="0.25">
      <c r="U937" s="9"/>
      <c r="X937" s="9"/>
      <c r="AA937" s="7"/>
      <c r="AD937" s="7"/>
    </row>
    <row r="938" spans="21:30" x14ac:dyDescent="0.25">
      <c r="U938" s="9"/>
      <c r="X938" s="9"/>
      <c r="AA938" s="7"/>
      <c r="AD938" s="7"/>
    </row>
    <row r="939" spans="21:30" x14ac:dyDescent="0.25">
      <c r="U939" s="9"/>
      <c r="X939" s="9"/>
      <c r="AA939" s="7"/>
      <c r="AD939" s="7"/>
    </row>
    <row r="940" spans="21:30" x14ac:dyDescent="0.25">
      <c r="U940" s="9"/>
      <c r="X940" s="9"/>
      <c r="AA940" s="7"/>
      <c r="AD940" s="7"/>
    </row>
    <row r="941" spans="21:30" x14ac:dyDescent="0.25">
      <c r="U941" s="9"/>
      <c r="X941" s="9"/>
      <c r="AA941" s="7"/>
      <c r="AD941" s="7"/>
    </row>
    <row r="942" spans="21:30" x14ac:dyDescent="0.25">
      <c r="U942" s="9"/>
      <c r="X942" s="9"/>
      <c r="AA942" s="7"/>
      <c r="AD942" s="7"/>
    </row>
    <row r="943" spans="21:30" x14ac:dyDescent="0.25">
      <c r="U943" s="9"/>
      <c r="X943" s="9"/>
      <c r="AA943" s="7"/>
      <c r="AD943" s="7"/>
    </row>
    <row r="944" spans="21:30" x14ac:dyDescent="0.25">
      <c r="U944" s="9"/>
      <c r="X944" s="9"/>
      <c r="AA944" s="7"/>
      <c r="AD944" s="7"/>
    </row>
    <row r="945" spans="21:30" x14ac:dyDescent="0.25">
      <c r="U945" s="9"/>
      <c r="X945" s="9"/>
      <c r="AA945" s="7"/>
      <c r="AD945" s="7"/>
    </row>
    <row r="946" spans="21:30" x14ac:dyDescent="0.25">
      <c r="U946" s="9"/>
      <c r="X946" s="9"/>
      <c r="AA946" s="7"/>
      <c r="AD946" s="7"/>
    </row>
    <row r="947" spans="21:30" x14ac:dyDescent="0.25">
      <c r="U947" s="9"/>
      <c r="X947" s="9"/>
      <c r="AA947" s="7"/>
      <c r="AD947" s="7"/>
    </row>
    <row r="948" spans="21:30" x14ac:dyDescent="0.25">
      <c r="U948" s="9"/>
      <c r="X948" s="9"/>
      <c r="AA948" s="7"/>
      <c r="AD948" s="7"/>
    </row>
    <row r="949" spans="21:30" x14ac:dyDescent="0.25">
      <c r="U949" s="9"/>
      <c r="X949" s="9"/>
      <c r="AA949" s="7"/>
      <c r="AD949" s="7"/>
    </row>
    <row r="950" spans="21:30" x14ac:dyDescent="0.25">
      <c r="U950" s="9"/>
      <c r="X950" s="9"/>
      <c r="AA950" s="7"/>
      <c r="AD950" s="7"/>
    </row>
    <row r="951" spans="21:30" x14ac:dyDescent="0.25">
      <c r="U951" s="9"/>
      <c r="X951" s="9"/>
      <c r="AA951" s="7"/>
      <c r="AD951" s="7"/>
    </row>
    <row r="952" spans="21:30" x14ac:dyDescent="0.25">
      <c r="U952" s="9"/>
      <c r="X952" s="9"/>
      <c r="AA952" s="7"/>
      <c r="AD952" s="7"/>
    </row>
    <row r="953" spans="21:30" x14ac:dyDescent="0.25">
      <c r="U953" s="9"/>
      <c r="X953" s="9"/>
      <c r="AA953" s="7"/>
      <c r="AD953" s="7"/>
    </row>
    <row r="954" spans="21:30" x14ac:dyDescent="0.25">
      <c r="U954" s="9"/>
      <c r="X954" s="9"/>
      <c r="AA954" s="7"/>
      <c r="AD954" s="7"/>
    </row>
    <row r="955" spans="21:30" x14ac:dyDescent="0.25">
      <c r="U955" s="9"/>
      <c r="X955" s="9"/>
      <c r="AA955" s="7"/>
      <c r="AD955" s="7"/>
    </row>
    <row r="956" spans="21:30" x14ac:dyDescent="0.25">
      <c r="U956" s="9"/>
      <c r="X956" s="9"/>
      <c r="AA956" s="7"/>
      <c r="AD956" s="7"/>
    </row>
    <row r="957" spans="21:30" x14ac:dyDescent="0.25">
      <c r="U957" s="9"/>
      <c r="X957" s="9"/>
      <c r="AA957" s="7"/>
      <c r="AD957" s="7"/>
    </row>
    <row r="958" spans="21:30" x14ac:dyDescent="0.25">
      <c r="U958" s="9"/>
      <c r="X958" s="9"/>
      <c r="AA958" s="7"/>
      <c r="AD958" s="7"/>
    </row>
    <row r="959" spans="21:30" x14ac:dyDescent="0.25">
      <c r="U959" s="9"/>
      <c r="X959" s="9"/>
      <c r="AA959" s="7"/>
      <c r="AD959" s="7"/>
    </row>
    <row r="960" spans="21:30" x14ac:dyDescent="0.25">
      <c r="U960" s="9"/>
      <c r="X960" s="9"/>
      <c r="AA960" s="7"/>
      <c r="AD960" s="7"/>
    </row>
    <row r="961" spans="21:30" x14ac:dyDescent="0.25">
      <c r="U961" s="9"/>
      <c r="X961" s="9"/>
      <c r="AA961" s="7"/>
      <c r="AD961" s="7"/>
    </row>
    <row r="962" spans="21:30" x14ac:dyDescent="0.25">
      <c r="U962" s="9"/>
      <c r="X962" s="9"/>
      <c r="AA962" s="7"/>
      <c r="AD962" s="7"/>
    </row>
    <row r="963" spans="21:30" x14ac:dyDescent="0.25">
      <c r="U963" s="9"/>
      <c r="X963" s="9"/>
      <c r="AA963" s="7"/>
      <c r="AD963" s="7"/>
    </row>
    <row r="964" spans="21:30" x14ac:dyDescent="0.25">
      <c r="U964" s="9"/>
      <c r="X964" s="9"/>
      <c r="AA964" s="7"/>
      <c r="AD964" s="7"/>
    </row>
    <row r="965" spans="21:30" x14ac:dyDescent="0.25">
      <c r="U965" s="9"/>
      <c r="X965" s="9"/>
      <c r="AA965" s="7"/>
      <c r="AD965" s="7"/>
    </row>
    <row r="966" spans="21:30" x14ac:dyDescent="0.25">
      <c r="U966" s="9"/>
      <c r="X966" s="9"/>
      <c r="AA966" s="7"/>
      <c r="AD966" s="7"/>
    </row>
    <row r="967" spans="21:30" x14ac:dyDescent="0.25">
      <c r="U967" s="9"/>
      <c r="X967" s="9"/>
      <c r="AA967" s="7"/>
      <c r="AD967" s="7"/>
    </row>
    <row r="968" spans="21:30" x14ac:dyDescent="0.25">
      <c r="U968" s="9"/>
      <c r="X968" s="9"/>
      <c r="AA968" s="7"/>
      <c r="AD968" s="7"/>
    </row>
    <row r="969" spans="21:30" x14ac:dyDescent="0.25">
      <c r="U969" s="9"/>
      <c r="X969" s="9"/>
      <c r="AA969" s="7"/>
      <c r="AD969" s="7"/>
    </row>
    <row r="970" spans="21:30" x14ac:dyDescent="0.25">
      <c r="U970" s="9"/>
      <c r="X970" s="9"/>
      <c r="AA970" s="7"/>
      <c r="AD970" s="7"/>
    </row>
    <row r="971" spans="21:30" x14ac:dyDescent="0.25">
      <c r="U971" s="9"/>
      <c r="X971" s="9"/>
      <c r="AA971" s="7"/>
      <c r="AD971" s="7"/>
    </row>
    <row r="972" spans="21:30" x14ac:dyDescent="0.25">
      <c r="U972" s="9"/>
      <c r="X972" s="9"/>
      <c r="AA972" s="7"/>
      <c r="AD972" s="7"/>
    </row>
    <row r="973" spans="21:30" x14ac:dyDescent="0.25">
      <c r="U973" s="9"/>
      <c r="X973" s="9"/>
      <c r="AA973" s="7"/>
      <c r="AD973" s="7"/>
    </row>
    <row r="974" spans="21:30" x14ac:dyDescent="0.25">
      <c r="U974" s="9"/>
      <c r="X974" s="9"/>
      <c r="AA974" s="7"/>
      <c r="AD974" s="7"/>
    </row>
    <row r="975" spans="21:30" x14ac:dyDescent="0.25">
      <c r="U975" s="9"/>
      <c r="X975" s="9"/>
      <c r="AA975" s="7"/>
      <c r="AD975" s="7"/>
    </row>
    <row r="976" spans="21:30" x14ac:dyDescent="0.25">
      <c r="U976" s="9"/>
      <c r="X976" s="9"/>
      <c r="AA976" s="7"/>
      <c r="AD976" s="7"/>
    </row>
    <row r="977" spans="21:30" x14ac:dyDescent="0.25">
      <c r="U977" s="9"/>
      <c r="X977" s="9"/>
      <c r="AA977" s="7"/>
      <c r="AD977" s="7"/>
    </row>
    <row r="978" spans="21:30" x14ac:dyDescent="0.25">
      <c r="U978" s="9"/>
      <c r="X978" s="9"/>
      <c r="AA978" s="7"/>
      <c r="AD978" s="7"/>
    </row>
    <row r="979" spans="21:30" x14ac:dyDescent="0.25">
      <c r="U979" s="9"/>
      <c r="X979" s="9"/>
      <c r="AA979" s="7"/>
      <c r="AD979" s="7"/>
    </row>
    <row r="980" spans="21:30" x14ac:dyDescent="0.25">
      <c r="U980" s="9"/>
      <c r="X980" s="9"/>
      <c r="AA980" s="7"/>
      <c r="AD980" s="7"/>
    </row>
    <row r="981" spans="21:30" x14ac:dyDescent="0.25">
      <c r="U981" s="9"/>
      <c r="X981" s="9"/>
      <c r="AA981" s="7"/>
      <c r="AD981" s="7"/>
    </row>
    <row r="982" spans="21:30" x14ac:dyDescent="0.25">
      <c r="U982" s="9"/>
      <c r="X982" s="9"/>
      <c r="AA982" s="7"/>
      <c r="AD982" s="7"/>
    </row>
    <row r="983" spans="21:30" x14ac:dyDescent="0.25">
      <c r="U983" s="9"/>
      <c r="X983" s="9"/>
      <c r="AA983" s="7"/>
      <c r="AD983" s="7"/>
    </row>
    <row r="984" spans="21:30" x14ac:dyDescent="0.25">
      <c r="U984" s="9"/>
      <c r="X984" s="9"/>
      <c r="AA984" s="7"/>
      <c r="AD984" s="7"/>
    </row>
    <row r="985" spans="21:30" x14ac:dyDescent="0.25">
      <c r="U985" s="9"/>
      <c r="X985" s="9"/>
      <c r="AA985" s="7"/>
      <c r="AD985" s="7"/>
    </row>
    <row r="986" spans="21:30" x14ac:dyDescent="0.25">
      <c r="U986" s="9"/>
      <c r="X986" s="9"/>
      <c r="AA986" s="7"/>
      <c r="AD986" s="7"/>
    </row>
    <row r="987" spans="21:30" x14ac:dyDescent="0.25">
      <c r="U987" s="9"/>
      <c r="X987" s="9"/>
      <c r="AA987" s="7"/>
      <c r="AD987" s="7"/>
    </row>
    <row r="988" spans="21:30" x14ac:dyDescent="0.25">
      <c r="U988" s="9"/>
      <c r="X988" s="9"/>
      <c r="AA988" s="7"/>
      <c r="AD988" s="7"/>
    </row>
    <row r="989" spans="21:30" x14ac:dyDescent="0.25">
      <c r="U989" s="9"/>
      <c r="X989" s="9"/>
      <c r="AA989" s="7"/>
      <c r="AD989" s="7"/>
    </row>
    <row r="990" spans="21:30" x14ac:dyDescent="0.25">
      <c r="U990" s="9"/>
      <c r="X990" s="9"/>
      <c r="AA990" s="7"/>
      <c r="AD990" s="7"/>
    </row>
    <row r="991" spans="21:30" x14ac:dyDescent="0.25">
      <c r="U991" s="9"/>
      <c r="X991" s="9"/>
      <c r="AA991" s="7"/>
      <c r="AD991" s="7"/>
    </row>
    <row r="992" spans="21:30" x14ac:dyDescent="0.25">
      <c r="U992" s="9"/>
      <c r="X992" s="9"/>
      <c r="AA992" s="7"/>
      <c r="AD992" s="7"/>
    </row>
    <row r="993" spans="21:30" x14ac:dyDescent="0.25">
      <c r="U993" s="9"/>
      <c r="X993" s="9"/>
      <c r="AA993" s="7"/>
      <c r="AD993" s="7"/>
    </row>
    <row r="994" spans="21:30" x14ac:dyDescent="0.25">
      <c r="U994" s="9"/>
      <c r="X994" s="9"/>
      <c r="AA994" s="7"/>
      <c r="AD994" s="7"/>
    </row>
    <row r="995" spans="21:30" x14ac:dyDescent="0.25">
      <c r="U995" s="9"/>
      <c r="X995" s="9"/>
      <c r="AA995" s="7"/>
      <c r="AD995" s="7"/>
    </row>
    <row r="996" spans="21:30" x14ac:dyDescent="0.25">
      <c r="U996" s="9"/>
      <c r="X996" s="9"/>
      <c r="AA996" s="7"/>
      <c r="AD996" s="7"/>
    </row>
    <row r="997" spans="21:30" x14ac:dyDescent="0.25">
      <c r="U997" s="9"/>
      <c r="X997" s="9"/>
      <c r="AA997" s="7"/>
      <c r="AD997" s="7"/>
    </row>
    <row r="998" spans="21:30" x14ac:dyDescent="0.25">
      <c r="U998" s="9"/>
      <c r="X998" s="9"/>
      <c r="AA998" s="7"/>
      <c r="AD998" s="7"/>
    </row>
    <row r="999" spans="21:30" x14ac:dyDescent="0.25">
      <c r="U999" s="9"/>
      <c r="X999" s="9"/>
      <c r="AA999" s="7"/>
      <c r="AD999" s="7"/>
    </row>
    <row r="1000" spans="21:30" x14ac:dyDescent="0.25">
      <c r="U1000" s="9"/>
      <c r="X1000" s="9"/>
      <c r="AA1000" s="7"/>
      <c r="AD1000" s="7"/>
    </row>
    <row r="1001" spans="21:30" x14ac:dyDescent="0.25">
      <c r="U1001" s="9"/>
      <c r="X1001" s="9"/>
      <c r="AA1001" s="7"/>
      <c r="AD1001" s="7"/>
    </row>
    <row r="1002" spans="21:30" x14ac:dyDescent="0.25">
      <c r="U1002" s="9"/>
      <c r="X1002" s="9"/>
      <c r="AA1002" s="7"/>
      <c r="AD1002" s="7"/>
    </row>
    <row r="1003" spans="21:30" x14ac:dyDescent="0.25">
      <c r="U1003" s="9"/>
      <c r="X1003" s="9"/>
      <c r="AA1003" s="7"/>
      <c r="AD1003" s="7"/>
    </row>
    <row r="1004" spans="21:30" x14ac:dyDescent="0.25">
      <c r="U1004" s="9"/>
      <c r="X1004" s="9"/>
      <c r="AA1004" s="7"/>
      <c r="AD1004" s="7"/>
    </row>
    <row r="1005" spans="21:30" x14ac:dyDescent="0.25">
      <c r="U1005" s="9"/>
      <c r="X1005" s="9"/>
      <c r="AA1005" s="7"/>
      <c r="AD1005" s="7"/>
    </row>
    <row r="1006" spans="21:30" x14ac:dyDescent="0.25">
      <c r="U1006" s="9"/>
      <c r="X1006" s="9"/>
      <c r="AA1006" s="7"/>
      <c r="AD1006" s="7"/>
    </row>
    <row r="1007" spans="21:30" x14ac:dyDescent="0.25">
      <c r="U1007" s="9"/>
      <c r="X1007" s="9"/>
      <c r="AA1007" s="7"/>
      <c r="AD1007" s="7"/>
    </row>
    <row r="1008" spans="21:30" x14ac:dyDescent="0.25">
      <c r="U1008" s="9"/>
      <c r="X1008" s="9"/>
      <c r="AA1008" s="7"/>
      <c r="AD1008" s="7"/>
    </row>
    <row r="1009" spans="21:30" x14ac:dyDescent="0.25">
      <c r="U1009" s="9"/>
      <c r="X1009" s="9"/>
      <c r="AA1009" s="7"/>
      <c r="AD1009" s="7"/>
    </row>
    <row r="1010" spans="21:30" x14ac:dyDescent="0.25">
      <c r="U1010" s="9"/>
      <c r="X1010" s="9"/>
      <c r="AA1010" s="7"/>
      <c r="AD1010" s="7"/>
    </row>
    <row r="1011" spans="21:30" x14ac:dyDescent="0.25">
      <c r="U1011" s="9"/>
      <c r="X1011" s="9"/>
      <c r="AA1011" s="7"/>
      <c r="AD1011" s="7"/>
    </row>
    <row r="1012" spans="21:30" x14ac:dyDescent="0.25">
      <c r="U1012" s="9"/>
      <c r="X1012" s="9"/>
      <c r="AA1012" s="7"/>
      <c r="AD1012" s="7"/>
    </row>
    <row r="1013" spans="21:30" x14ac:dyDescent="0.25">
      <c r="U1013" s="9"/>
      <c r="X1013" s="9"/>
      <c r="AA1013" s="7"/>
      <c r="AD1013" s="7"/>
    </row>
    <row r="1014" spans="21:30" x14ac:dyDescent="0.25">
      <c r="U1014" s="9"/>
      <c r="X1014" s="9"/>
      <c r="AA1014" s="7"/>
      <c r="AD1014" s="7"/>
    </row>
    <row r="1015" spans="21:30" x14ac:dyDescent="0.25">
      <c r="U1015" s="9"/>
      <c r="X1015" s="9"/>
      <c r="AA1015" s="7"/>
      <c r="AD1015" s="7"/>
    </row>
    <row r="1016" spans="21:30" x14ac:dyDescent="0.25">
      <c r="U1016" s="9"/>
      <c r="X1016" s="9"/>
      <c r="AA1016" s="7"/>
      <c r="AD1016" s="7"/>
    </row>
    <row r="1017" spans="21:30" x14ac:dyDescent="0.25">
      <c r="U1017" s="9"/>
      <c r="X1017" s="9"/>
      <c r="AA1017" s="7"/>
      <c r="AD1017" s="7"/>
    </row>
    <row r="1018" spans="21:30" x14ac:dyDescent="0.25">
      <c r="U1018" s="9"/>
      <c r="X1018" s="9"/>
      <c r="AA1018" s="7"/>
      <c r="AD1018" s="7"/>
    </row>
    <row r="1019" spans="21:30" x14ac:dyDescent="0.25">
      <c r="U1019" s="9"/>
      <c r="X1019" s="9"/>
      <c r="AA1019" s="7"/>
      <c r="AD1019" s="7"/>
    </row>
    <row r="1020" spans="21:30" x14ac:dyDescent="0.25">
      <c r="U1020" s="9"/>
      <c r="X1020" s="9"/>
      <c r="AA1020" s="7"/>
      <c r="AD1020" s="7"/>
    </row>
    <row r="1021" spans="21:30" x14ac:dyDescent="0.25">
      <c r="U1021" s="9"/>
      <c r="X1021" s="9"/>
      <c r="AA1021" s="7"/>
      <c r="AD1021" s="7"/>
    </row>
    <row r="1022" spans="21:30" x14ac:dyDescent="0.25">
      <c r="U1022" s="9"/>
      <c r="X1022" s="9"/>
      <c r="AA1022" s="7"/>
      <c r="AD1022" s="7"/>
    </row>
    <row r="1023" spans="21:30" x14ac:dyDescent="0.25">
      <c r="U1023" s="9"/>
      <c r="X1023" s="9"/>
      <c r="AA1023" s="7"/>
      <c r="AD1023" s="7"/>
    </row>
    <row r="1024" spans="21:30" x14ac:dyDescent="0.25">
      <c r="U1024" s="9"/>
      <c r="X1024" s="9"/>
      <c r="AA1024" s="7"/>
      <c r="AD1024" s="7"/>
    </row>
    <row r="1025" spans="21:30" x14ac:dyDescent="0.25">
      <c r="U1025" s="9"/>
      <c r="X1025" s="9"/>
      <c r="AA1025" s="7"/>
      <c r="AD1025" s="7"/>
    </row>
    <row r="1026" spans="21:30" x14ac:dyDescent="0.25">
      <c r="U1026" s="9"/>
      <c r="X1026" s="9"/>
      <c r="AA1026" s="7"/>
      <c r="AD1026" s="7"/>
    </row>
    <row r="1027" spans="21:30" x14ac:dyDescent="0.25">
      <c r="U1027" s="9"/>
      <c r="X1027" s="9"/>
      <c r="AA1027" s="7"/>
      <c r="AD1027" s="7"/>
    </row>
    <row r="1028" spans="21:30" x14ac:dyDescent="0.25">
      <c r="U1028" s="9"/>
      <c r="X1028" s="9"/>
      <c r="AA1028" s="7"/>
      <c r="AD1028" s="7"/>
    </row>
    <row r="1029" spans="21:30" x14ac:dyDescent="0.25">
      <c r="U1029" s="9"/>
      <c r="X1029" s="9"/>
      <c r="AA1029" s="7"/>
      <c r="AD1029" s="7"/>
    </row>
    <row r="1030" spans="21:30" x14ac:dyDescent="0.25">
      <c r="U1030" s="9"/>
      <c r="X1030" s="9"/>
      <c r="AA1030" s="7"/>
      <c r="AD1030" s="7"/>
    </row>
    <row r="1031" spans="21:30" x14ac:dyDescent="0.25">
      <c r="U1031" s="9"/>
      <c r="X1031" s="9"/>
      <c r="AA1031" s="7"/>
      <c r="AD1031" s="7"/>
    </row>
    <row r="1032" spans="21:30" x14ac:dyDescent="0.25">
      <c r="U1032" s="9"/>
      <c r="X1032" s="9"/>
      <c r="AA1032" s="7"/>
      <c r="AD1032" s="7"/>
    </row>
    <row r="1033" spans="21:30" x14ac:dyDescent="0.25">
      <c r="U1033" s="9"/>
      <c r="X1033" s="9"/>
      <c r="AA1033" s="7"/>
      <c r="AD1033" s="7"/>
    </row>
    <row r="1034" spans="21:30" x14ac:dyDescent="0.25">
      <c r="U1034" s="9"/>
      <c r="X1034" s="9"/>
      <c r="AA1034" s="7"/>
      <c r="AD1034" s="7"/>
    </row>
    <row r="1035" spans="21:30" x14ac:dyDescent="0.25">
      <c r="U1035" s="9"/>
      <c r="X1035" s="9"/>
      <c r="AA1035" s="7"/>
      <c r="AD1035" s="7"/>
    </row>
    <row r="1036" spans="21:30" x14ac:dyDescent="0.25">
      <c r="U1036" s="9"/>
      <c r="X1036" s="9"/>
      <c r="AA1036" s="7"/>
      <c r="AD1036" s="7"/>
    </row>
    <row r="1037" spans="21:30" x14ac:dyDescent="0.25">
      <c r="U1037" s="9"/>
      <c r="X1037" s="9"/>
      <c r="AA1037" s="7"/>
      <c r="AD1037" s="7"/>
    </row>
    <row r="1038" spans="21:30" x14ac:dyDescent="0.25">
      <c r="U1038" s="9"/>
      <c r="X1038" s="9"/>
      <c r="AA1038" s="7"/>
      <c r="AD1038" s="7"/>
    </row>
    <row r="1039" spans="21:30" x14ac:dyDescent="0.25">
      <c r="U1039" s="9"/>
      <c r="X1039" s="9"/>
      <c r="AA1039" s="7"/>
      <c r="AD1039" s="7"/>
    </row>
    <row r="1040" spans="21:30" x14ac:dyDescent="0.25">
      <c r="U1040" s="9"/>
      <c r="X1040" s="9"/>
      <c r="AA1040" s="7"/>
      <c r="AD1040" s="7"/>
    </row>
    <row r="1041" spans="21:30" x14ac:dyDescent="0.25">
      <c r="U1041" s="9"/>
      <c r="X1041" s="9"/>
      <c r="AA1041" s="7"/>
      <c r="AD1041" s="7"/>
    </row>
    <row r="1042" spans="21:30" x14ac:dyDescent="0.25">
      <c r="U1042" s="9"/>
      <c r="X1042" s="9"/>
      <c r="AA1042" s="7"/>
      <c r="AD1042" s="7"/>
    </row>
    <row r="1043" spans="21:30" x14ac:dyDescent="0.25">
      <c r="U1043" s="9"/>
      <c r="X1043" s="9"/>
      <c r="AA1043" s="7"/>
      <c r="AD1043" s="7"/>
    </row>
    <row r="1044" spans="21:30" x14ac:dyDescent="0.25">
      <c r="U1044" s="9"/>
      <c r="X1044" s="9"/>
      <c r="AA1044" s="7"/>
      <c r="AD1044" s="7"/>
    </row>
    <row r="1045" spans="21:30" x14ac:dyDescent="0.25">
      <c r="U1045" s="9"/>
      <c r="X1045" s="9"/>
      <c r="AA1045" s="7"/>
      <c r="AD1045" s="7"/>
    </row>
    <row r="1046" spans="21:30" x14ac:dyDescent="0.25">
      <c r="U1046" s="9"/>
      <c r="X1046" s="9"/>
      <c r="AA1046" s="7"/>
      <c r="AD1046" s="7"/>
    </row>
    <row r="1047" spans="21:30" x14ac:dyDescent="0.25">
      <c r="U1047" s="9"/>
      <c r="X1047" s="9"/>
      <c r="AA1047" s="7"/>
      <c r="AD1047" s="7"/>
    </row>
    <row r="1048" spans="21:30" x14ac:dyDescent="0.25">
      <c r="U1048" s="9"/>
      <c r="X1048" s="9"/>
      <c r="AA1048" s="7"/>
      <c r="AD1048" s="7"/>
    </row>
    <row r="1049" spans="21:30" x14ac:dyDescent="0.25">
      <c r="U1049" s="9"/>
      <c r="X1049" s="9"/>
      <c r="AA1049" s="7"/>
      <c r="AD1049" s="7"/>
    </row>
    <row r="1050" spans="21:30" x14ac:dyDescent="0.25">
      <c r="U1050" s="9"/>
      <c r="X1050" s="9"/>
      <c r="AA1050" s="7"/>
      <c r="AD1050" s="7"/>
    </row>
    <row r="1051" spans="21:30" x14ac:dyDescent="0.25">
      <c r="U1051" s="9"/>
      <c r="X1051" s="9"/>
      <c r="AA1051" s="7"/>
      <c r="AD1051" s="7"/>
    </row>
    <row r="1052" spans="21:30" x14ac:dyDescent="0.25">
      <c r="U1052" s="9"/>
      <c r="X1052" s="9"/>
      <c r="AA1052" s="7"/>
      <c r="AD1052" s="7"/>
    </row>
    <row r="1053" spans="21:30" x14ac:dyDescent="0.25">
      <c r="U1053" s="9"/>
      <c r="X1053" s="9"/>
      <c r="AA1053" s="7"/>
      <c r="AD1053" s="7"/>
    </row>
    <row r="1054" spans="21:30" x14ac:dyDescent="0.25">
      <c r="U1054" s="9"/>
      <c r="X1054" s="9"/>
      <c r="AA1054" s="7"/>
      <c r="AD1054" s="7"/>
    </row>
    <row r="1055" spans="21:30" x14ac:dyDescent="0.25">
      <c r="U1055" s="9"/>
      <c r="X1055" s="9"/>
      <c r="AA1055" s="7"/>
      <c r="AD1055" s="7"/>
    </row>
    <row r="1056" spans="21:30" x14ac:dyDescent="0.25">
      <c r="U1056" s="9"/>
      <c r="X1056" s="9"/>
      <c r="AA1056" s="7"/>
      <c r="AD1056" s="7"/>
    </row>
    <row r="1057" spans="21:30" x14ac:dyDescent="0.25">
      <c r="U1057" s="9"/>
      <c r="X1057" s="9"/>
      <c r="AA1057" s="7"/>
      <c r="AD1057" s="7"/>
    </row>
    <row r="1058" spans="21:30" x14ac:dyDescent="0.25">
      <c r="U1058" s="9"/>
      <c r="X1058" s="9"/>
      <c r="AA1058" s="7"/>
      <c r="AD1058" s="7"/>
    </row>
    <row r="1059" spans="21:30" x14ac:dyDescent="0.25">
      <c r="U1059" s="9"/>
      <c r="X1059" s="9"/>
      <c r="AA1059" s="7"/>
      <c r="AD1059" s="7"/>
    </row>
    <row r="1060" spans="21:30" x14ac:dyDescent="0.25">
      <c r="U1060" s="9"/>
      <c r="X1060" s="9"/>
      <c r="AA1060" s="7"/>
      <c r="AD1060" s="7"/>
    </row>
    <row r="1061" spans="21:30" x14ac:dyDescent="0.25">
      <c r="U1061" s="9"/>
      <c r="X1061" s="9"/>
      <c r="AA1061" s="7"/>
      <c r="AD1061" s="7"/>
    </row>
    <row r="1062" spans="21:30" x14ac:dyDescent="0.25">
      <c r="U1062" s="9"/>
      <c r="X1062" s="9"/>
      <c r="AA1062" s="7"/>
      <c r="AD1062" s="7"/>
    </row>
    <row r="1063" spans="21:30" x14ac:dyDescent="0.25">
      <c r="U1063" s="9"/>
      <c r="X1063" s="9"/>
      <c r="AA1063" s="7"/>
      <c r="AD1063" s="7"/>
    </row>
    <row r="1064" spans="21:30" x14ac:dyDescent="0.25">
      <c r="U1064" s="9"/>
      <c r="X1064" s="9"/>
      <c r="AA1064" s="7"/>
      <c r="AD1064" s="7"/>
    </row>
    <row r="1065" spans="21:30" x14ac:dyDescent="0.25">
      <c r="U1065" s="9"/>
      <c r="X1065" s="9"/>
      <c r="AA1065" s="7"/>
      <c r="AD1065" s="7"/>
    </row>
    <row r="1066" spans="21:30" x14ac:dyDescent="0.25">
      <c r="U1066" s="9"/>
      <c r="X1066" s="9"/>
      <c r="AA1066" s="7"/>
      <c r="AD1066" s="7"/>
    </row>
    <row r="1067" spans="21:30" x14ac:dyDescent="0.25">
      <c r="U1067" s="9"/>
      <c r="X1067" s="9"/>
      <c r="AA1067" s="7"/>
      <c r="AD1067" s="7"/>
    </row>
    <row r="1068" spans="21:30" x14ac:dyDescent="0.25">
      <c r="U1068" s="9"/>
      <c r="X1068" s="9"/>
      <c r="AA1068" s="7"/>
      <c r="AD1068" s="7"/>
    </row>
    <row r="1069" spans="21:30" x14ac:dyDescent="0.25">
      <c r="U1069" s="9"/>
      <c r="X1069" s="9"/>
      <c r="AA1069" s="7"/>
      <c r="AD1069" s="7"/>
    </row>
    <row r="1070" spans="21:30" x14ac:dyDescent="0.25">
      <c r="U1070" s="9"/>
      <c r="X1070" s="9"/>
      <c r="AA1070" s="7"/>
      <c r="AD1070" s="7"/>
    </row>
    <row r="1071" spans="21:30" x14ac:dyDescent="0.25">
      <c r="U1071" s="9"/>
      <c r="X1071" s="9"/>
      <c r="AA1071" s="7"/>
      <c r="AD1071" s="7"/>
    </row>
    <row r="1072" spans="21:30" x14ac:dyDescent="0.25">
      <c r="U1072" s="9"/>
      <c r="X1072" s="9"/>
      <c r="AA1072" s="7"/>
      <c r="AD1072" s="7"/>
    </row>
    <row r="1073" spans="21:30" x14ac:dyDescent="0.25">
      <c r="U1073" s="9"/>
      <c r="X1073" s="9"/>
      <c r="AA1073" s="7"/>
      <c r="AD1073" s="7"/>
    </row>
    <row r="1074" spans="21:30" x14ac:dyDescent="0.25">
      <c r="U1074" s="9"/>
      <c r="X1074" s="9"/>
      <c r="AA1074" s="7"/>
      <c r="AD1074" s="7"/>
    </row>
    <row r="1075" spans="21:30" x14ac:dyDescent="0.25">
      <c r="U1075" s="9"/>
      <c r="X1075" s="9"/>
      <c r="AA1075" s="7"/>
      <c r="AD1075" s="7"/>
    </row>
    <row r="1076" spans="21:30" x14ac:dyDescent="0.25">
      <c r="U1076" s="9"/>
      <c r="X1076" s="9"/>
      <c r="AA1076" s="7"/>
      <c r="AD1076" s="7"/>
    </row>
    <row r="1077" spans="21:30" x14ac:dyDescent="0.25">
      <c r="U1077" s="9"/>
      <c r="X1077" s="9"/>
      <c r="AA1077" s="7"/>
      <c r="AD1077" s="7"/>
    </row>
    <row r="1078" spans="21:30" x14ac:dyDescent="0.25">
      <c r="U1078" s="9"/>
      <c r="X1078" s="9"/>
      <c r="AA1078" s="7"/>
      <c r="AD1078" s="7"/>
    </row>
    <row r="1079" spans="21:30" x14ac:dyDescent="0.25">
      <c r="U1079" s="9"/>
      <c r="X1079" s="9"/>
      <c r="AA1079" s="7"/>
      <c r="AD1079" s="7"/>
    </row>
    <row r="1080" spans="21:30" x14ac:dyDescent="0.25">
      <c r="U1080" s="9"/>
      <c r="X1080" s="9"/>
      <c r="AA1080" s="7"/>
      <c r="AD1080" s="7"/>
    </row>
    <row r="1081" spans="21:30" x14ac:dyDescent="0.25">
      <c r="U1081" s="9"/>
      <c r="X1081" s="9"/>
      <c r="AA1081" s="7"/>
      <c r="AD1081" s="7"/>
    </row>
    <row r="1082" spans="21:30" x14ac:dyDescent="0.25">
      <c r="U1082" s="9"/>
      <c r="X1082" s="9"/>
      <c r="AA1082" s="7"/>
      <c r="AD1082" s="7"/>
    </row>
    <row r="1083" spans="21:30" x14ac:dyDescent="0.25">
      <c r="U1083" s="9"/>
      <c r="X1083" s="9"/>
      <c r="AA1083" s="7"/>
      <c r="AD1083" s="7"/>
    </row>
    <row r="1084" spans="21:30" x14ac:dyDescent="0.25">
      <c r="U1084" s="9"/>
      <c r="X1084" s="9"/>
      <c r="AA1084" s="7"/>
      <c r="AD1084" s="7"/>
    </row>
    <row r="1085" spans="21:30" x14ac:dyDescent="0.25">
      <c r="U1085" s="9"/>
      <c r="X1085" s="9"/>
      <c r="AA1085" s="7"/>
      <c r="AD1085" s="7"/>
    </row>
    <row r="1086" spans="21:30" x14ac:dyDescent="0.25">
      <c r="U1086" s="9"/>
      <c r="X1086" s="9"/>
      <c r="AA1086" s="7"/>
      <c r="AD1086" s="7"/>
    </row>
    <row r="1087" spans="21:30" x14ac:dyDescent="0.25">
      <c r="U1087" s="9"/>
      <c r="X1087" s="9"/>
      <c r="AA1087" s="7"/>
      <c r="AD1087" s="7"/>
    </row>
    <row r="1088" spans="21:30" x14ac:dyDescent="0.25">
      <c r="U1088" s="9"/>
      <c r="X1088" s="9"/>
      <c r="AA1088" s="7"/>
      <c r="AD1088" s="7"/>
    </row>
    <row r="1089" spans="21:30" x14ac:dyDescent="0.25">
      <c r="U1089" s="9"/>
      <c r="X1089" s="9"/>
      <c r="AA1089" s="7"/>
      <c r="AD1089" s="7"/>
    </row>
    <row r="1090" spans="21:30" x14ac:dyDescent="0.25">
      <c r="U1090" s="9"/>
      <c r="X1090" s="9"/>
      <c r="AA1090" s="7"/>
      <c r="AD1090" s="7"/>
    </row>
    <row r="1091" spans="21:30" x14ac:dyDescent="0.25">
      <c r="U1091" s="9"/>
      <c r="X1091" s="9"/>
      <c r="AA1091" s="7"/>
      <c r="AD1091" s="7"/>
    </row>
    <row r="1092" spans="21:30" x14ac:dyDescent="0.25">
      <c r="U1092" s="9"/>
      <c r="X1092" s="9"/>
      <c r="AA1092" s="7"/>
      <c r="AD1092" s="7"/>
    </row>
    <row r="1093" spans="21:30" x14ac:dyDescent="0.25">
      <c r="U1093" s="9"/>
      <c r="X1093" s="9"/>
      <c r="AA1093" s="7"/>
      <c r="AD1093" s="7"/>
    </row>
    <row r="1094" spans="21:30" x14ac:dyDescent="0.25">
      <c r="U1094" s="9"/>
      <c r="X1094" s="9"/>
      <c r="AA1094" s="7"/>
      <c r="AD1094" s="7"/>
    </row>
    <row r="1095" spans="21:30" x14ac:dyDescent="0.25">
      <c r="U1095" s="9"/>
      <c r="X1095" s="9"/>
      <c r="AA1095" s="7"/>
      <c r="AD1095" s="7"/>
    </row>
    <row r="1096" spans="21:30" x14ac:dyDescent="0.25">
      <c r="U1096" s="9"/>
      <c r="X1096" s="9"/>
      <c r="AA1096" s="7"/>
      <c r="AD1096" s="7"/>
    </row>
    <row r="1097" spans="21:30" x14ac:dyDescent="0.25">
      <c r="U1097" s="9"/>
      <c r="X1097" s="9"/>
      <c r="AA1097" s="7"/>
      <c r="AD1097" s="7"/>
    </row>
    <row r="1098" spans="21:30" x14ac:dyDescent="0.25">
      <c r="U1098" s="9"/>
      <c r="X1098" s="9"/>
      <c r="AA1098" s="7"/>
      <c r="AD1098" s="7"/>
    </row>
    <row r="1099" spans="21:30" x14ac:dyDescent="0.25">
      <c r="U1099" s="9"/>
      <c r="X1099" s="9"/>
      <c r="AA1099" s="7"/>
      <c r="AD1099" s="7"/>
    </row>
    <row r="1100" spans="21:30" x14ac:dyDescent="0.25">
      <c r="U1100" s="9"/>
      <c r="X1100" s="9"/>
      <c r="AA1100" s="7"/>
      <c r="AD1100" s="7"/>
    </row>
    <row r="1101" spans="21:30" x14ac:dyDescent="0.25">
      <c r="U1101" s="9"/>
      <c r="X1101" s="9"/>
      <c r="AA1101" s="7"/>
      <c r="AD1101" s="7"/>
    </row>
    <row r="1102" spans="21:30" x14ac:dyDescent="0.25">
      <c r="U1102" s="9"/>
      <c r="X1102" s="9"/>
      <c r="AA1102" s="7"/>
      <c r="AD1102" s="7"/>
    </row>
    <row r="1103" spans="21:30" x14ac:dyDescent="0.25">
      <c r="U1103" s="9"/>
      <c r="X1103" s="9"/>
      <c r="AA1103" s="7"/>
      <c r="AD1103" s="7"/>
    </row>
    <row r="1104" spans="21:30" x14ac:dyDescent="0.25">
      <c r="U1104" s="9"/>
      <c r="X1104" s="9"/>
      <c r="AA1104" s="7"/>
      <c r="AD1104" s="7"/>
    </row>
    <row r="1105" spans="21:30" x14ac:dyDescent="0.25">
      <c r="U1105" s="9"/>
      <c r="X1105" s="9"/>
      <c r="AA1105" s="7"/>
      <c r="AD1105" s="7"/>
    </row>
    <row r="1106" spans="21:30" x14ac:dyDescent="0.25">
      <c r="U1106" s="9"/>
      <c r="X1106" s="9"/>
      <c r="AA1106" s="7"/>
      <c r="AD1106" s="7"/>
    </row>
    <row r="1107" spans="21:30" x14ac:dyDescent="0.25">
      <c r="U1107" s="9"/>
      <c r="X1107" s="9"/>
      <c r="AA1107" s="7"/>
      <c r="AD1107" s="7"/>
    </row>
    <row r="1108" spans="21:30" x14ac:dyDescent="0.25">
      <c r="U1108" s="9"/>
      <c r="X1108" s="9"/>
      <c r="AA1108" s="7"/>
      <c r="AD1108" s="7"/>
    </row>
    <row r="1109" spans="21:30" x14ac:dyDescent="0.25">
      <c r="U1109" s="9"/>
      <c r="X1109" s="9"/>
      <c r="AA1109" s="7"/>
      <c r="AD1109" s="7"/>
    </row>
    <row r="1110" spans="21:30" x14ac:dyDescent="0.25">
      <c r="U1110" s="9"/>
      <c r="X1110" s="9"/>
      <c r="AA1110" s="7"/>
      <c r="AD1110" s="7"/>
    </row>
    <row r="1111" spans="21:30" x14ac:dyDescent="0.25">
      <c r="U1111" s="9"/>
      <c r="X1111" s="9"/>
      <c r="AA1111" s="7"/>
      <c r="AD1111" s="7"/>
    </row>
    <row r="1112" spans="21:30" x14ac:dyDescent="0.25">
      <c r="U1112" s="9"/>
      <c r="X1112" s="9"/>
      <c r="AA1112" s="7"/>
      <c r="AD1112" s="7"/>
    </row>
    <row r="1113" spans="21:30" x14ac:dyDescent="0.25">
      <c r="U1113" s="9"/>
      <c r="X1113" s="9"/>
      <c r="AA1113" s="7"/>
      <c r="AD1113" s="7"/>
    </row>
    <row r="1114" spans="21:30" x14ac:dyDescent="0.25">
      <c r="U1114" s="9"/>
      <c r="X1114" s="9"/>
      <c r="AA1114" s="7"/>
      <c r="AD1114" s="7"/>
    </row>
    <row r="1115" spans="21:30" x14ac:dyDescent="0.25">
      <c r="U1115" s="9"/>
      <c r="X1115" s="9"/>
      <c r="AA1115" s="7"/>
      <c r="AD1115" s="7"/>
    </row>
    <row r="1116" spans="21:30" x14ac:dyDescent="0.25">
      <c r="U1116" s="9"/>
      <c r="X1116" s="9"/>
      <c r="AA1116" s="7"/>
      <c r="AD1116" s="7"/>
    </row>
    <row r="1117" spans="21:30" x14ac:dyDescent="0.25">
      <c r="U1117" s="9"/>
      <c r="X1117" s="9"/>
      <c r="AA1117" s="7"/>
      <c r="AD1117" s="7"/>
    </row>
    <row r="1118" spans="21:30" x14ac:dyDescent="0.25">
      <c r="U1118" s="9"/>
      <c r="X1118" s="9"/>
      <c r="AA1118" s="7"/>
      <c r="AD1118" s="7"/>
    </row>
    <row r="1119" spans="21:30" x14ac:dyDescent="0.25">
      <c r="U1119" s="9"/>
      <c r="X1119" s="9"/>
      <c r="AA1119" s="7"/>
      <c r="AD1119" s="7"/>
    </row>
    <row r="1120" spans="21:30" x14ac:dyDescent="0.25">
      <c r="U1120" s="9"/>
      <c r="X1120" s="9"/>
      <c r="AA1120" s="7"/>
      <c r="AD1120" s="7"/>
    </row>
    <row r="1121" spans="21:30" x14ac:dyDescent="0.25">
      <c r="U1121" s="9"/>
      <c r="X1121" s="9"/>
      <c r="AA1121" s="7"/>
      <c r="AD1121" s="7"/>
    </row>
    <row r="1122" spans="21:30" x14ac:dyDescent="0.25">
      <c r="U1122" s="9"/>
      <c r="X1122" s="9"/>
      <c r="AA1122" s="7"/>
      <c r="AD1122" s="7"/>
    </row>
    <row r="1123" spans="21:30" x14ac:dyDescent="0.25">
      <c r="U1123" s="9"/>
      <c r="X1123" s="9"/>
      <c r="AA1123" s="7"/>
      <c r="AD1123" s="7"/>
    </row>
    <row r="1124" spans="21:30" x14ac:dyDescent="0.25">
      <c r="U1124" s="9"/>
      <c r="X1124" s="9"/>
      <c r="AA1124" s="7"/>
      <c r="AD1124" s="7"/>
    </row>
    <row r="1125" spans="21:30" x14ac:dyDescent="0.25">
      <c r="U1125" s="9"/>
      <c r="X1125" s="9"/>
      <c r="AA1125" s="7"/>
      <c r="AD1125" s="7"/>
    </row>
    <row r="1126" spans="21:30" x14ac:dyDescent="0.25">
      <c r="U1126" s="9"/>
      <c r="X1126" s="9"/>
      <c r="AA1126" s="7"/>
      <c r="AD1126" s="7"/>
    </row>
    <row r="1127" spans="21:30" x14ac:dyDescent="0.25">
      <c r="U1127" s="9"/>
      <c r="X1127" s="9"/>
      <c r="AA1127" s="7"/>
      <c r="AD1127" s="7"/>
    </row>
    <row r="1128" spans="21:30" x14ac:dyDescent="0.25">
      <c r="U1128" s="9"/>
      <c r="X1128" s="9"/>
      <c r="AA1128" s="7"/>
      <c r="AD1128" s="7"/>
    </row>
    <row r="1129" spans="21:30" x14ac:dyDescent="0.25">
      <c r="U1129" s="9"/>
      <c r="X1129" s="9"/>
      <c r="AA1129" s="7"/>
      <c r="AD1129" s="7"/>
    </row>
    <row r="1130" spans="21:30" x14ac:dyDescent="0.25">
      <c r="U1130" s="9"/>
      <c r="X1130" s="9"/>
      <c r="AA1130" s="7"/>
      <c r="AD1130" s="7"/>
    </row>
    <row r="1131" spans="21:30" x14ac:dyDescent="0.25">
      <c r="U1131" s="9"/>
      <c r="X1131" s="9"/>
      <c r="AA1131" s="7"/>
      <c r="AD1131" s="7"/>
    </row>
    <row r="1132" spans="21:30" x14ac:dyDescent="0.25">
      <c r="U1132" s="9"/>
      <c r="X1132" s="9"/>
      <c r="AA1132" s="7"/>
      <c r="AD1132" s="7"/>
    </row>
    <row r="1133" spans="21:30" x14ac:dyDescent="0.25">
      <c r="U1133" s="9"/>
      <c r="X1133" s="9"/>
      <c r="AA1133" s="7"/>
      <c r="AD1133" s="7"/>
    </row>
    <row r="1134" spans="21:30" x14ac:dyDescent="0.25">
      <c r="U1134" s="9"/>
      <c r="X1134" s="9"/>
      <c r="AA1134" s="7"/>
      <c r="AD1134" s="7"/>
    </row>
    <row r="1135" spans="21:30" x14ac:dyDescent="0.25">
      <c r="U1135" s="9"/>
      <c r="X1135" s="9"/>
      <c r="AA1135" s="7"/>
      <c r="AD1135" s="7"/>
    </row>
    <row r="1136" spans="21:30" x14ac:dyDescent="0.25">
      <c r="U1136" s="9"/>
      <c r="X1136" s="9"/>
      <c r="AA1136" s="7"/>
      <c r="AD1136" s="7"/>
    </row>
    <row r="1137" spans="21:30" x14ac:dyDescent="0.25">
      <c r="U1137" s="9"/>
      <c r="X1137" s="9"/>
      <c r="AA1137" s="7"/>
      <c r="AD1137" s="7"/>
    </row>
    <row r="1138" spans="21:30" x14ac:dyDescent="0.25">
      <c r="U1138" s="9"/>
      <c r="X1138" s="9"/>
      <c r="AA1138" s="7"/>
      <c r="AD1138" s="7"/>
    </row>
    <row r="1139" spans="21:30" x14ac:dyDescent="0.25">
      <c r="U1139" s="9"/>
      <c r="X1139" s="9"/>
      <c r="AA1139" s="7"/>
      <c r="AD1139" s="7"/>
    </row>
    <row r="1140" spans="21:30" x14ac:dyDescent="0.25">
      <c r="U1140" s="9"/>
      <c r="X1140" s="9"/>
      <c r="AA1140" s="7"/>
      <c r="AD1140" s="7"/>
    </row>
    <row r="1141" spans="21:30" x14ac:dyDescent="0.25">
      <c r="U1141" s="9"/>
      <c r="X1141" s="9"/>
      <c r="AA1141" s="7"/>
      <c r="AD1141" s="7"/>
    </row>
    <row r="1142" spans="21:30" x14ac:dyDescent="0.25">
      <c r="U1142" s="9"/>
      <c r="X1142" s="9"/>
      <c r="AA1142" s="7"/>
      <c r="AD1142" s="7"/>
    </row>
    <row r="1143" spans="21:30" x14ac:dyDescent="0.25">
      <c r="U1143" s="9"/>
      <c r="X1143" s="9"/>
      <c r="AA1143" s="7"/>
      <c r="AD1143" s="7"/>
    </row>
    <row r="1144" spans="21:30" x14ac:dyDescent="0.25">
      <c r="U1144" s="9"/>
      <c r="X1144" s="9"/>
      <c r="AA1144" s="7"/>
      <c r="AD1144" s="7"/>
    </row>
    <row r="1145" spans="21:30" x14ac:dyDescent="0.25">
      <c r="U1145" s="9"/>
      <c r="X1145" s="9"/>
      <c r="AA1145" s="7"/>
      <c r="AD1145" s="7"/>
    </row>
    <row r="1146" spans="21:30" x14ac:dyDescent="0.25">
      <c r="U1146" s="9"/>
      <c r="X1146" s="9"/>
      <c r="AA1146" s="7"/>
      <c r="AD1146" s="7"/>
    </row>
    <row r="1147" spans="21:30" x14ac:dyDescent="0.25">
      <c r="U1147" s="9"/>
      <c r="X1147" s="9"/>
      <c r="AA1147" s="7"/>
      <c r="AD1147" s="7"/>
    </row>
    <row r="1148" spans="21:30" x14ac:dyDescent="0.25">
      <c r="U1148" s="9"/>
      <c r="X1148" s="9"/>
      <c r="AA1148" s="7"/>
      <c r="AD1148" s="7"/>
    </row>
    <row r="1149" spans="21:30" x14ac:dyDescent="0.25">
      <c r="U1149" s="9"/>
      <c r="X1149" s="9"/>
      <c r="AA1149" s="7"/>
      <c r="AD1149" s="7"/>
    </row>
    <row r="1150" spans="21:30" x14ac:dyDescent="0.25">
      <c r="U1150" s="9"/>
      <c r="X1150" s="9"/>
      <c r="AA1150" s="7"/>
      <c r="AD1150" s="7"/>
    </row>
    <row r="1151" spans="21:30" x14ac:dyDescent="0.25">
      <c r="U1151" s="9"/>
      <c r="X1151" s="9"/>
      <c r="AA1151" s="7"/>
      <c r="AD1151" s="7"/>
    </row>
    <row r="1152" spans="21:30" x14ac:dyDescent="0.25">
      <c r="U1152" s="9"/>
      <c r="X1152" s="9"/>
      <c r="AA1152" s="7"/>
      <c r="AD1152" s="7"/>
    </row>
    <row r="1153" spans="21:30" x14ac:dyDescent="0.25">
      <c r="U1153" s="9"/>
      <c r="X1153" s="9"/>
      <c r="AA1153" s="7"/>
      <c r="AD1153" s="7"/>
    </row>
    <row r="1154" spans="21:30" x14ac:dyDescent="0.25">
      <c r="U1154" s="9"/>
      <c r="X1154" s="9"/>
      <c r="AA1154" s="7"/>
      <c r="AD1154" s="7"/>
    </row>
    <row r="1155" spans="21:30" x14ac:dyDescent="0.25">
      <c r="U1155" s="9"/>
      <c r="X1155" s="9"/>
      <c r="AA1155" s="7"/>
      <c r="AD1155" s="7"/>
    </row>
    <row r="1156" spans="21:30" x14ac:dyDescent="0.25">
      <c r="U1156" s="9"/>
      <c r="X1156" s="9"/>
      <c r="AA1156" s="7"/>
      <c r="AD1156" s="7"/>
    </row>
    <row r="1157" spans="21:30" x14ac:dyDescent="0.25">
      <c r="U1157" s="9"/>
      <c r="X1157" s="9"/>
      <c r="AA1157" s="7"/>
      <c r="AD1157" s="7"/>
    </row>
    <row r="1158" spans="21:30" x14ac:dyDescent="0.25">
      <c r="U1158" s="9"/>
      <c r="X1158" s="9"/>
      <c r="AA1158" s="7"/>
      <c r="AD1158" s="7"/>
    </row>
    <row r="1159" spans="21:30" x14ac:dyDescent="0.25">
      <c r="U1159" s="9"/>
      <c r="X1159" s="9"/>
      <c r="AA1159" s="7"/>
      <c r="AD1159" s="7"/>
    </row>
    <row r="1160" spans="21:30" x14ac:dyDescent="0.25">
      <c r="U1160" s="9"/>
      <c r="X1160" s="9"/>
      <c r="AA1160" s="7"/>
      <c r="AD1160" s="7"/>
    </row>
    <row r="1161" spans="21:30" x14ac:dyDescent="0.25">
      <c r="U1161" s="9"/>
      <c r="X1161" s="9"/>
      <c r="AA1161" s="7"/>
      <c r="AD1161" s="7"/>
    </row>
    <row r="1162" spans="21:30" x14ac:dyDescent="0.25">
      <c r="U1162" s="9"/>
      <c r="X1162" s="9"/>
      <c r="AA1162" s="7"/>
      <c r="AD1162" s="7"/>
    </row>
    <row r="1163" spans="21:30" x14ac:dyDescent="0.25">
      <c r="U1163" s="9"/>
      <c r="X1163" s="9"/>
      <c r="AA1163" s="7"/>
      <c r="AD1163" s="7"/>
    </row>
    <row r="1164" spans="21:30" x14ac:dyDescent="0.25">
      <c r="U1164" s="9"/>
      <c r="X1164" s="9"/>
      <c r="AA1164" s="7"/>
      <c r="AD1164" s="7"/>
    </row>
    <row r="1165" spans="21:30" x14ac:dyDescent="0.25">
      <c r="U1165" s="9"/>
      <c r="X1165" s="9"/>
      <c r="AA1165" s="7"/>
      <c r="AD1165" s="7"/>
    </row>
    <row r="1166" spans="21:30" x14ac:dyDescent="0.25">
      <c r="U1166" s="9"/>
      <c r="X1166" s="9"/>
      <c r="AA1166" s="7"/>
      <c r="AD1166" s="7"/>
    </row>
    <row r="1167" spans="21:30" x14ac:dyDescent="0.25">
      <c r="U1167" s="9"/>
      <c r="X1167" s="9"/>
      <c r="AA1167" s="7"/>
      <c r="AD1167" s="7"/>
    </row>
    <row r="1168" spans="21:30" x14ac:dyDescent="0.25">
      <c r="U1168" s="9"/>
      <c r="X1168" s="9"/>
      <c r="AA1168" s="7"/>
      <c r="AD1168" s="7"/>
    </row>
    <row r="1169" spans="21:30" x14ac:dyDescent="0.25">
      <c r="U1169" s="9"/>
      <c r="X1169" s="9"/>
      <c r="AA1169" s="7"/>
      <c r="AD1169" s="7"/>
    </row>
    <row r="1170" spans="21:30" x14ac:dyDescent="0.25">
      <c r="U1170" s="9"/>
      <c r="X1170" s="9"/>
      <c r="AA1170" s="7"/>
      <c r="AD1170" s="7"/>
    </row>
    <row r="1171" spans="21:30" x14ac:dyDescent="0.25">
      <c r="U1171" s="9"/>
      <c r="X1171" s="9"/>
      <c r="AA1171" s="7"/>
      <c r="AD1171" s="7"/>
    </row>
    <row r="1172" spans="21:30" x14ac:dyDescent="0.25">
      <c r="U1172" s="9"/>
      <c r="X1172" s="9"/>
      <c r="AA1172" s="7"/>
      <c r="AD1172" s="7"/>
    </row>
    <row r="1173" spans="21:30" x14ac:dyDescent="0.25">
      <c r="U1173" s="9"/>
      <c r="X1173" s="9"/>
      <c r="AA1173" s="7"/>
      <c r="AD1173" s="7"/>
    </row>
    <row r="1174" spans="21:30" x14ac:dyDescent="0.25">
      <c r="U1174" s="9"/>
      <c r="X1174" s="9"/>
      <c r="AA1174" s="7"/>
      <c r="AD1174" s="7"/>
    </row>
    <row r="1175" spans="21:30" x14ac:dyDescent="0.25">
      <c r="U1175" s="9"/>
      <c r="X1175" s="9"/>
      <c r="AA1175" s="7"/>
      <c r="AD1175" s="7"/>
    </row>
    <row r="1176" spans="21:30" x14ac:dyDescent="0.25">
      <c r="U1176" s="9"/>
      <c r="X1176" s="9"/>
      <c r="AA1176" s="7"/>
      <c r="AD1176" s="7"/>
    </row>
    <row r="1177" spans="21:30" x14ac:dyDescent="0.25">
      <c r="U1177" s="9"/>
      <c r="X1177" s="9"/>
      <c r="AA1177" s="7"/>
      <c r="AD1177" s="7"/>
    </row>
    <row r="1178" spans="21:30" x14ac:dyDescent="0.25">
      <c r="U1178" s="9"/>
      <c r="X1178" s="9"/>
      <c r="AA1178" s="7"/>
      <c r="AD1178" s="7"/>
    </row>
    <row r="1179" spans="21:30" x14ac:dyDescent="0.25">
      <c r="U1179" s="9"/>
      <c r="X1179" s="9"/>
      <c r="AA1179" s="7"/>
      <c r="AD1179" s="7"/>
    </row>
    <row r="1180" spans="21:30" x14ac:dyDescent="0.25">
      <c r="U1180" s="9"/>
      <c r="X1180" s="9"/>
      <c r="AA1180" s="7"/>
      <c r="AD1180" s="7"/>
    </row>
    <row r="1181" spans="21:30" x14ac:dyDescent="0.25">
      <c r="U1181" s="9"/>
      <c r="X1181" s="9"/>
      <c r="AA1181" s="7"/>
      <c r="AD1181" s="7"/>
    </row>
    <row r="1182" spans="21:30" x14ac:dyDescent="0.25">
      <c r="U1182" s="9"/>
      <c r="X1182" s="9"/>
      <c r="AA1182" s="7"/>
      <c r="AD1182" s="7"/>
    </row>
    <row r="1183" spans="21:30" x14ac:dyDescent="0.25">
      <c r="U1183" s="9"/>
      <c r="X1183" s="9"/>
      <c r="AA1183" s="7"/>
      <c r="AD1183" s="7"/>
    </row>
    <row r="1184" spans="21:30" x14ac:dyDescent="0.25">
      <c r="U1184" s="9"/>
      <c r="X1184" s="9"/>
      <c r="AA1184" s="7"/>
      <c r="AD1184" s="7"/>
    </row>
    <row r="1185" spans="21:30" x14ac:dyDescent="0.25">
      <c r="U1185" s="9"/>
      <c r="X1185" s="9"/>
      <c r="AA1185" s="7"/>
      <c r="AD1185" s="7"/>
    </row>
    <row r="1186" spans="21:30" x14ac:dyDescent="0.25">
      <c r="U1186" s="9"/>
      <c r="X1186" s="9"/>
      <c r="AA1186" s="7"/>
      <c r="AD1186" s="7"/>
    </row>
    <row r="1187" spans="21:30" x14ac:dyDescent="0.25">
      <c r="U1187" s="9"/>
      <c r="X1187" s="9"/>
      <c r="AA1187" s="7"/>
      <c r="AD1187" s="7"/>
    </row>
    <row r="1188" spans="21:30" x14ac:dyDescent="0.25">
      <c r="U1188" s="9"/>
      <c r="X1188" s="9"/>
      <c r="AA1188" s="7"/>
      <c r="AD1188" s="7"/>
    </row>
    <row r="1189" spans="21:30" x14ac:dyDescent="0.25">
      <c r="U1189" s="9"/>
      <c r="X1189" s="9"/>
      <c r="AA1189" s="7"/>
      <c r="AD1189" s="7"/>
    </row>
    <row r="1190" spans="21:30" x14ac:dyDescent="0.25">
      <c r="U1190" s="9"/>
      <c r="X1190" s="9"/>
      <c r="AA1190" s="7"/>
      <c r="AD1190" s="7"/>
    </row>
    <row r="1191" spans="21:30" x14ac:dyDescent="0.25">
      <c r="U1191" s="9"/>
      <c r="X1191" s="9"/>
      <c r="AA1191" s="7"/>
      <c r="AD1191" s="7"/>
    </row>
    <row r="1192" spans="21:30" x14ac:dyDescent="0.25">
      <c r="U1192" s="9"/>
      <c r="X1192" s="9"/>
      <c r="AA1192" s="7"/>
      <c r="AD1192" s="7"/>
    </row>
    <row r="1193" spans="21:30" x14ac:dyDescent="0.25">
      <c r="U1193" s="9"/>
      <c r="X1193" s="9"/>
      <c r="AA1193" s="7"/>
      <c r="AD1193" s="7"/>
    </row>
    <row r="1194" spans="21:30" x14ac:dyDescent="0.25">
      <c r="U1194" s="9"/>
      <c r="X1194" s="9"/>
      <c r="AA1194" s="7"/>
      <c r="AD1194" s="7"/>
    </row>
    <row r="1195" spans="21:30" x14ac:dyDescent="0.25">
      <c r="U1195" s="9"/>
      <c r="X1195" s="9"/>
      <c r="AA1195" s="7"/>
      <c r="AD1195" s="7"/>
    </row>
    <row r="1196" spans="21:30" x14ac:dyDescent="0.25">
      <c r="U1196" s="9"/>
      <c r="X1196" s="9"/>
      <c r="AA1196" s="7"/>
      <c r="AD1196" s="7"/>
    </row>
    <row r="1197" spans="21:30" x14ac:dyDescent="0.25">
      <c r="U1197" s="9"/>
      <c r="X1197" s="9"/>
      <c r="AA1197" s="7"/>
      <c r="AD1197" s="7"/>
    </row>
    <row r="1198" spans="21:30" x14ac:dyDescent="0.25">
      <c r="U1198" s="9"/>
      <c r="X1198" s="9"/>
      <c r="AA1198" s="7"/>
      <c r="AD1198" s="7"/>
    </row>
    <row r="1199" spans="21:30" x14ac:dyDescent="0.25">
      <c r="U1199" s="9"/>
      <c r="X1199" s="9"/>
      <c r="AA1199" s="7"/>
      <c r="AD1199" s="7"/>
    </row>
    <row r="1200" spans="21:30" x14ac:dyDescent="0.25">
      <c r="U1200" s="9"/>
      <c r="X1200" s="9"/>
      <c r="AA1200" s="7"/>
      <c r="AD1200" s="7"/>
    </row>
    <row r="1201" spans="21:30" x14ac:dyDescent="0.25">
      <c r="U1201" s="9"/>
      <c r="X1201" s="9"/>
      <c r="AA1201" s="7"/>
      <c r="AD1201" s="7"/>
    </row>
    <row r="1202" spans="21:30" x14ac:dyDescent="0.25">
      <c r="U1202" s="9"/>
      <c r="X1202" s="9"/>
      <c r="AA1202" s="7"/>
      <c r="AD1202" s="7"/>
    </row>
    <row r="1203" spans="21:30" x14ac:dyDescent="0.25">
      <c r="U1203" s="9"/>
      <c r="X1203" s="9"/>
      <c r="AA1203" s="7"/>
      <c r="AD1203" s="7"/>
    </row>
    <row r="1204" spans="21:30" x14ac:dyDescent="0.25">
      <c r="U1204" s="9"/>
      <c r="X1204" s="9"/>
      <c r="AA1204" s="7"/>
      <c r="AD1204" s="7"/>
    </row>
    <row r="1205" spans="21:30" x14ac:dyDescent="0.25">
      <c r="U1205" s="9"/>
      <c r="X1205" s="9"/>
      <c r="AA1205" s="7"/>
      <c r="AD1205" s="7"/>
    </row>
    <row r="1206" spans="21:30" x14ac:dyDescent="0.25">
      <c r="U1206" s="9"/>
      <c r="X1206" s="9"/>
      <c r="AA1206" s="7"/>
      <c r="AD1206" s="7"/>
    </row>
    <row r="1207" spans="21:30" x14ac:dyDescent="0.25">
      <c r="U1207" s="9"/>
      <c r="X1207" s="9"/>
      <c r="AA1207" s="7"/>
      <c r="AD1207" s="7"/>
    </row>
    <row r="1208" spans="21:30" x14ac:dyDescent="0.25">
      <c r="U1208" s="9"/>
      <c r="X1208" s="9"/>
      <c r="AA1208" s="7"/>
      <c r="AD1208" s="7"/>
    </row>
    <row r="1209" spans="21:30" x14ac:dyDescent="0.25">
      <c r="U1209" s="9"/>
      <c r="X1209" s="9"/>
      <c r="AA1209" s="7"/>
      <c r="AD1209" s="7"/>
    </row>
    <row r="1210" spans="21:30" x14ac:dyDescent="0.25">
      <c r="U1210" s="9"/>
      <c r="X1210" s="9"/>
      <c r="AA1210" s="7"/>
      <c r="AD1210" s="7"/>
    </row>
    <row r="1211" spans="21:30" x14ac:dyDescent="0.25">
      <c r="U1211" s="9"/>
      <c r="X1211" s="9"/>
      <c r="AA1211" s="7"/>
      <c r="AD1211" s="7"/>
    </row>
    <row r="1212" spans="21:30" x14ac:dyDescent="0.25">
      <c r="U1212" s="9"/>
      <c r="X1212" s="9"/>
      <c r="AA1212" s="7"/>
      <c r="AD1212" s="7"/>
    </row>
    <row r="1213" spans="21:30" x14ac:dyDescent="0.25">
      <c r="U1213" s="9"/>
      <c r="X1213" s="9"/>
      <c r="AA1213" s="7"/>
      <c r="AD1213" s="7"/>
    </row>
    <row r="1214" spans="21:30" x14ac:dyDescent="0.25">
      <c r="U1214" s="9"/>
      <c r="X1214" s="9"/>
      <c r="AA1214" s="7"/>
      <c r="AD1214" s="7"/>
    </row>
    <row r="1215" spans="21:30" x14ac:dyDescent="0.25">
      <c r="U1215" s="9"/>
      <c r="X1215" s="9"/>
      <c r="AA1215" s="7"/>
      <c r="AD1215" s="7"/>
    </row>
    <row r="1216" spans="21:30" x14ac:dyDescent="0.25">
      <c r="U1216" s="9"/>
      <c r="X1216" s="9"/>
      <c r="AA1216" s="7"/>
      <c r="AD1216" s="7"/>
    </row>
    <row r="1217" spans="21:30" x14ac:dyDescent="0.25">
      <c r="U1217" s="9"/>
      <c r="X1217" s="9"/>
      <c r="AA1217" s="7"/>
      <c r="AD1217" s="7"/>
    </row>
    <row r="1218" spans="21:30" x14ac:dyDescent="0.25">
      <c r="U1218" s="9"/>
      <c r="X1218" s="9"/>
      <c r="AA1218" s="7"/>
      <c r="AD1218" s="7"/>
    </row>
    <row r="1219" spans="21:30" x14ac:dyDescent="0.25">
      <c r="U1219" s="9"/>
      <c r="X1219" s="9"/>
      <c r="AA1219" s="7"/>
      <c r="AD1219" s="7"/>
    </row>
    <row r="1220" spans="21:30" x14ac:dyDescent="0.25">
      <c r="U1220" s="9"/>
      <c r="X1220" s="9"/>
      <c r="AA1220" s="7"/>
      <c r="AD1220" s="7"/>
    </row>
    <row r="1221" spans="21:30" x14ac:dyDescent="0.25">
      <c r="U1221" s="9"/>
      <c r="X1221" s="9"/>
      <c r="AA1221" s="7"/>
      <c r="AD1221" s="7"/>
    </row>
    <row r="1222" spans="21:30" x14ac:dyDescent="0.25">
      <c r="U1222" s="9"/>
      <c r="X1222" s="9"/>
      <c r="AA1222" s="7"/>
      <c r="AD1222" s="7"/>
    </row>
    <row r="1223" spans="21:30" x14ac:dyDescent="0.25">
      <c r="U1223" s="9"/>
      <c r="X1223" s="9"/>
      <c r="AA1223" s="7"/>
      <c r="AD1223" s="7"/>
    </row>
    <row r="1224" spans="21:30" x14ac:dyDescent="0.25">
      <c r="U1224" s="9"/>
      <c r="X1224" s="9"/>
      <c r="AA1224" s="7"/>
      <c r="AD1224" s="7"/>
    </row>
    <row r="1225" spans="21:30" x14ac:dyDescent="0.25">
      <c r="U1225" s="9"/>
      <c r="X1225" s="9"/>
      <c r="AA1225" s="7"/>
      <c r="AD1225" s="7"/>
    </row>
    <row r="1226" spans="21:30" x14ac:dyDescent="0.25">
      <c r="U1226" s="9"/>
      <c r="X1226" s="9"/>
      <c r="AA1226" s="7"/>
      <c r="AD1226" s="7"/>
    </row>
    <row r="1227" spans="21:30" x14ac:dyDescent="0.25">
      <c r="U1227" s="9"/>
      <c r="X1227" s="9"/>
      <c r="AA1227" s="7"/>
      <c r="AD1227" s="7"/>
    </row>
    <row r="1228" spans="21:30" x14ac:dyDescent="0.25">
      <c r="U1228" s="9"/>
      <c r="X1228" s="9"/>
      <c r="AA1228" s="7"/>
      <c r="AD1228" s="7"/>
    </row>
    <row r="1229" spans="21:30" x14ac:dyDescent="0.25">
      <c r="U1229" s="9"/>
      <c r="X1229" s="9"/>
      <c r="AA1229" s="7"/>
      <c r="AD1229" s="7"/>
    </row>
    <row r="1230" spans="21:30" x14ac:dyDescent="0.25">
      <c r="U1230" s="9"/>
      <c r="X1230" s="9"/>
      <c r="AA1230" s="7"/>
      <c r="AD1230" s="7"/>
    </row>
    <row r="1231" spans="21:30" x14ac:dyDescent="0.25">
      <c r="U1231" s="9"/>
      <c r="X1231" s="9"/>
      <c r="AA1231" s="7"/>
      <c r="AD1231" s="7"/>
    </row>
    <row r="1232" spans="21:30" x14ac:dyDescent="0.25">
      <c r="U1232" s="9"/>
      <c r="X1232" s="9"/>
      <c r="AA1232" s="7"/>
      <c r="AD1232" s="7"/>
    </row>
    <row r="1233" spans="21:30" x14ac:dyDescent="0.25">
      <c r="U1233" s="9"/>
      <c r="X1233" s="9"/>
      <c r="AA1233" s="7"/>
      <c r="AD1233" s="7"/>
    </row>
    <row r="1234" spans="21:30" x14ac:dyDescent="0.25">
      <c r="U1234" s="9"/>
      <c r="X1234" s="9"/>
      <c r="AA1234" s="7"/>
      <c r="AD1234" s="7"/>
    </row>
    <row r="1235" spans="21:30" x14ac:dyDescent="0.25">
      <c r="U1235" s="9"/>
      <c r="X1235" s="9"/>
      <c r="AA1235" s="7"/>
      <c r="AD1235" s="7"/>
    </row>
    <row r="1236" spans="21:30" x14ac:dyDescent="0.25">
      <c r="U1236" s="9"/>
      <c r="X1236" s="9"/>
      <c r="AA1236" s="7"/>
      <c r="AD1236" s="7"/>
    </row>
    <row r="1237" spans="21:30" x14ac:dyDescent="0.25">
      <c r="U1237" s="9"/>
      <c r="X1237" s="9"/>
      <c r="AA1237" s="7"/>
      <c r="AD1237" s="7"/>
    </row>
    <row r="1238" spans="21:30" x14ac:dyDescent="0.25">
      <c r="U1238" s="9"/>
      <c r="X1238" s="9"/>
      <c r="AA1238" s="7"/>
      <c r="AD1238" s="7"/>
    </row>
    <row r="1239" spans="21:30" x14ac:dyDescent="0.25">
      <c r="U1239" s="9"/>
      <c r="X1239" s="9"/>
      <c r="AA1239" s="7"/>
      <c r="AD1239" s="7"/>
    </row>
    <row r="1240" spans="21:30" x14ac:dyDescent="0.25">
      <c r="U1240" s="9"/>
      <c r="X1240" s="9"/>
      <c r="AA1240" s="7"/>
      <c r="AD1240" s="7"/>
    </row>
    <row r="1241" spans="21:30" x14ac:dyDescent="0.25">
      <c r="U1241" s="9"/>
      <c r="X1241" s="9"/>
      <c r="AA1241" s="7"/>
      <c r="AD1241" s="7"/>
    </row>
    <row r="1242" spans="21:30" x14ac:dyDescent="0.25">
      <c r="U1242" s="9"/>
      <c r="X1242" s="9"/>
      <c r="AA1242" s="7"/>
      <c r="AD1242" s="7"/>
    </row>
    <row r="1243" spans="21:30" x14ac:dyDescent="0.25">
      <c r="U1243" s="9"/>
      <c r="X1243" s="9"/>
      <c r="AA1243" s="7"/>
      <c r="AD1243" s="7"/>
    </row>
    <row r="1244" spans="21:30" x14ac:dyDescent="0.25">
      <c r="U1244" s="9"/>
      <c r="X1244" s="9"/>
      <c r="AA1244" s="7"/>
      <c r="AD1244" s="7"/>
    </row>
    <row r="1245" spans="21:30" x14ac:dyDescent="0.25">
      <c r="U1245" s="9"/>
      <c r="X1245" s="9"/>
      <c r="AA1245" s="7"/>
      <c r="AD1245" s="7"/>
    </row>
    <row r="1246" spans="21:30" x14ac:dyDescent="0.25">
      <c r="U1246" s="9"/>
      <c r="X1246" s="9"/>
      <c r="AA1246" s="7"/>
      <c r="AD1246" s="7"/>
    </row>
    <row r="1247" spans="21:30" x14ac:dyDescent="0.25">
      <c r="U1247" s="9"/>
      <c r="X1247" s="9"/>
      <c r="AA1247" s="7"/>
      <c r="AD1247" s="7"/>
    </row>
    <row r="1248" spans="21:30" x14ac:dyDescent="0.25">
      <c r="U1248" s="9"/>
      <c r="X1248" s="9"/>
      <c r="AD1248" s="7"/>
    </row>
    <row r="1249" spans="21:30" x14ac:dyDescent="0.25">
      <c r="U1249" s="9"/>
      <c r="X1249" s="9"/>
      <c r="AD1249" s="7"/>
    </row>
    <row r="1250" spans="21:30" x14ac:dyDescent="0.25">
      <c r="U1250" s="9"/>
      <c r="X1250" s="9"/>
      <c r="AD1250" s="7"/>
    </row>
    <row r="1251" spans="21:30" x14ac:dyDescent="0.25">
      <c r="U1251" s="9"/>
      <c r="X1251" s="9"/>
      <c r="AD1251" s="7"/>
    </row>
    <row r="1252" spans="21:30" x14ac:dyDescent="0.25">
      <c r="U1252" s="9"/>
      <c r="X1252" s="9"/>
      <c r="AD1252" s="7"/>
    </row>
    <row r="1253" spans="21:30" x14ac:dyDescent="0.25">
      <c r="U1253" s="9"/>
      <c r="X1253" s="9"/>
      <c r="AD1253" s="7"/>
    </row>
    <row r="1254" spans="21:30" x14ac:dyDescent="0.25">
      <c r="U1254" s="9"/>
      <c r="X1254" s="9"/>
      <c r="AD1254" s="7"/>
    </row>
    <row r="1255" spans="21:30" x14ac:dyDescent="0.25">
      <c r="U1255" s="9"/>
      <c r="X1255" s="9"/>
      <c r="AD1255" s="7"/>
    </row>
    <row r="1256" spans="21:30" x14ac:dyDescent="0.25">
      <c r="U1256" s="9"/>
      <c r="X1256" s="9"/>
      <c r="AD1256" s="7"/>
    </row>
    <row r="1257" spans="21:30" x14ac:dyDescent="0.25">
      <c r="U1257" s="9"/>
      <c r="X1257" s="9"/>
      <c r="AD1257" s="7"/>
    </row>
    <row r="1258" spans="21:30" x14ac:dyDescent="0.25">
      <c r="U1258" s="9"/>
      <c r="X1258" s="9"/>
      <c r="AD1258" s="7"/>
    </row>
    <row r="1259" spans="21:30" x14ac:dyDescent="0.25">
      <c r="U1259" s="9"/>
      <c r="X1259" s="9"/>
      <c r="AD1259" s="7"/>
    </row>
    <row r="1260" spans="21:30" x14ac:dyDescent="0.25">
      <c r="U1260" s="9"/>
      <c r="X1260" s="9"/>
      <c r="AD1260" s="7"/>
    </row>
    <row r="1261" spans="21:30" x14ac:dyDescent="0.25">
      <c r="U1261" s="9"/>
      <c r="X1261" s="9"/>
      <c r="AD1261" s="7"/>
    </row>
    <row r="1262" spans="21:30" x14ac:dyDescent="0.25">
      <c r="U1262" s="9"/>
      <c r="X1262" s="9"/>
      <c r="AD1262" s="7"/>
    </row>
    <row r="1263" spans="21:30" x14ac:dyDescent="0.25">
      <c r="U1263" s="9"/>
      <c r="X1263" s="9"/>
      <c r="AD1263" s="7"/>
    </row>
    <row r="1264" spans="21:30" x14ac:dyDescent="0.25">
      <c r="U1264" s="9"/>
      <c r="X1264" s="9"/>
      <c r="AD1264" s="7"/>
    </row>
    <row r="1265" spans="21:30" x14ac:dyDescent="0.25">
      <c r="U1265" s="9"/>
      <c r="X1265" s="9"/>
      <c r="AD1265" s="7"/>
    </row>
    <row r="1266" spans="21:30" x14ac:dyDescent="0.25">
      <c r="U1266" s="9"/>
      <c r="X1266" s="9"/>
      <c r="AD1266" s="7"/>
    </row>
    <row r="1267" spans="21:30" x14ac:dyDescent="0.25">
      <c r="U1267" s="9"/>
      <c r="X1267" s="9"/>
      <c r="AD1267" s="7"/>
    </row>
    <row r="1268" spans="21:30" x14ac:dyDescent="0.25">
      <c r="U1268" s="9"/>
      <c r="X1268" s="9"/>
      <c r="AD1268" s="7"/>
    </row>
    <row r="1269" spans="21:30" x14ac:dyDescent="0.25">
      <c r="U1269" s="9"/>
      <c r="X1269" s="9"/>
      <c r="AD1269" s="7"/>
    </row>
    <row r="1270" spans="21:30" x14ac:dyDescent="0.25">
      <c r="U1270" s="9"/>
      <c r="X1270" s="9"/>
      <c r="AD1270" s="7"/>
    </row>
    <row r="1271" spans="21:30" x14ac:dyDescent="0.25">
      <c r="U1271" s="9"/>
      <c r="X1271" s="9"/>
      <c r="AD1271" s="7"/>
    </row>
    <row r="1272" spans="21:30" x14ac:dyDescent="0.25">
      <c r="U1272" s="9"/>
      <c r="X1272" s="9"/>
      <c r="AD1272" s="7"/>
    </row>
    <row r="1273" spans="21:30" x14ac:dyDescent="0.25">
      <c r="U1273" s="9"/>
      <c r="X1273" s="9"/>
      <c r="AD1273" s="7"/>
    </row>
    <row r="1274" spans="21:30" x14ac:dyDescent="0.25">
      <c r="U1274" s="9"/>
      <c r="X1274" s="9"/>
      <c r="AD1274" s="7"/>
    </row>
    <row r="1275" spans="21:30" x14ac:dyDescent="0.25">
      <c r="U1275" s="9"/>
      <c r="X1275" s="9"/>
      <c r="AD1275" s="7"/>
    </row>
    <row r="1276" spans="21:30" x14ac:dyDescent="0.25">
      <c r="U1276" s="9"/>
      <c r="X1276" s="9"/>
      <c r="AD1276" s="7"/>
    </row>
    <row r="1277" spans="21:30" x14ac:dyDescent="0.25">
      <c r="U1277" s="9"/>
      <c r="X1277" s="9"/>
      <c r="AD1277" s="7"/>
    </row>
    <row r="1278" spans="21:30" x14ac:dyDescent="0.25">
      <c r="U1278" s="9"/>
      <c r="X1278" s="9"/>
      <c r="AD1278" s="7"/>
    </row>
    <row r="1279" spans="21:30" x14ac:dyDescent="0.25">
      <c r="U1279" s="9"/>
      <c r="X1279" s="9"/>
      <c r="AD1279" s="7"/>
    </row>
    <row r="1280" spans="21:30" x14ac:dyDescent="0.25">
      <c r="U1280" s="9"/>
      <c r="X1280" s="9"/>
      <c r="AD1280" s="7"/>
    </row>
    <row r="1281" spans="21:30" x14ac:dyDescent="0.25">
      <c r="U1281" s="9"/>
      <c r="X1281" s="9"/>
      <c r="AD1281" s="7"/>
    </row>
    <row r="1282" spans="21:30" x14ac:dyDescent="0.25">
      <c r="U1282" s="9"/>
      <c r="X1282" s="9"/>
      <c r="AD1282" s="7"/>
    </row>
    <row r="1283" spans="21:30" x14ac:dyDescent="0.25">
      <c r="U1283" s="9"/>
      <c r="X1283" s="9"/>
      <c r="AD1283" s="7"/>
    </row>
    <row r="1284" spans="21:30" x14ac:dyDescent="0.25">
      <c r="U1284" s="9"/>
      <c r="X1284" s="9"/>
      <c r="AD1284" s="7"/>
    </row>
    <row r="1285" spans="21:30" x14ac:dyDescent="0.25">
      <c r="U1285" s="9"/>
      <c r="X1285" s="9"/>
      <c r="AD1285" s="7"/>
    </row>
    <row r="1286" spans="21:30" x14ac:dyDescent="0.25">
      <c r="U1286" s="9"/>
      <c r="X1286" s="9"/>
      <c r="AD1286" s="7"/>
    </row>
    <row r="1287" spans="21:30" x14ac:dyDescent="0.25">
      <c r="U1287" s="9"/>
      <c r="X1287" s="9"/>
      <c r="AD1287" s="7"/>
    </row>
    <row r="1288" spans="21:30" x14ac:dyDescent="0.25">
      <c r="U1288" s="9"/>
      <c r="X1288" s="9"/>
      <c r="AD1288" s="7"/>
    </row>
    <row r="1289" spans="21:30" x14ac:dyDescent="0.25">
      <c r="U1289" s="9"/>
      <c r="X1289" s="9"/>
      <c r="AD1289" s="7"/>
    </row>
    <row r="1290" spans="21:30" x14ac:dyDescent="0.25">
      <c r="U1290" s="9"/>
      <c r="X1290" s="9"/>
      <c r="AD1290" s="7"/>
    </row>
    <row r="1291" spans="21:30" x14ac:dyDescent="0.25">
      <c r="U1291" s="9"/>
      <c r="X1291" s="9"/>
      <c r="AD1291" s="7"/>
    </row>
    <row r="1292" spans="21:30" x14ac:dyDescent="0.25">
      <c r="U1292" s="9"/>
      <c r="X1292" s="9"/>
      <c r="AD1292" s="7"/>
    </row>
    <row r="1293" spans="21:30" x14ac:dyDescent="0.25">
      <c r="U1293" s="9"/>
      <c r="X1293" s="9"/>
      <c r="AD1293" s="7"/>
    </row>
    <row r="1294" spans="21:30" x14ac:dyDescent="0.25">
      <c r="U1294" s="9"/>
      <c r="X1294" s="9"/>
      <c r="AD1294" s="7"/>
    </row>
    <row r="1295" spans="21:30" x14ac:dyDescent="0.25">
      <c r="U1295" s="9"/>
      <c r="X1295" s="9"/>
      <c r="AD1295" s="7"/>
    </row>
    <row r="1296" spans="21:30" x14ac:dyDescent="0.25">
      <c r="U1296" s="9"/>
      <c r="X1296" s="9"/>
      <c r="AD1296" s="7"/>
    </row>
    <row r="1297" spans="21:30" x14ac:dyDescent="0.25">
      <c r="U1297" s="9"/>
      <c r="X1297" s="9"/>
      <c r="AD1297" s="7"/>
    </row>
    <row r="1298" spans="21:30" x14ac:dyDescent="0.25">
      <c r="U1298" s="9"/>
      <c r="X1298" s="9"/>
      <c r="AD1298" s="7"/>
    </row>
    <row r="1299" spans="21:30" x14ac:dyDescent="0.25">
      <c r="U1299" s="9"/>
      <c r="X1299" s="9"/>
      <c r="AD1299" s="7"/>
    </row>
    <row r="1300" spans="21:30" x14ac:dyDescent="0.25">
      <c r="U1300" s="9"/>
      <c r="X1300" s="9"/>
      <c r="AD1300" s="7"/>
    </row>
    <row r="1301" spans="21:30" x14ac:dyDescent="0.25">
      <c r="U1301" s="9"/>
      <c r="X1301" s="9"/>
      <c r="AD1301" s="7"/>
    </row>
    <row r="1302" spans="21:30" x14ac:dyDescent="0.25">
      <c r="U1302" s="9"/>
      <c r="X1302" s="9"/>
      <c r="AD1302" s="7"/>
    </row>
    <row r="1303" spans="21:30" x14ac:dyDescent="0.25">
      <c r="U1303" s="9"/>
      <c r="X1303" s="9"/>
      <c r="AD1303" s="7"/>
    </row>
    <row r="1304" spans="21:30" x14ac:dyDescent="0.25">
      <c r="U1304" s="9"/>
      <c r="X1304" s="9"/>
      <c r="AD1304" s="7"/>
    </row>
    <row r="1305" spans="21:30" x14ac:dyDescent="0.25">
      <c r="U1305" s="9"/>
      <c r="X1305" s="9"/>
      <c r="AD1305" s="7"/>
    </row>
    <row r="1306" spans="21:30" x14ac:dyDescent="0.25">
      <c r="U1306" s="9"/>
      <c r="X1306" s="9"/>
      <c r="AD1306" s="7"/>
    </row>
    <row r="1307" spans="21:30" x14ac:dyDescent="0.25">
      <c r="U1307" s="9"/>
      <c r="X1307" s="9"/>
      <c r="AD1307" s="7"/>
    </row>
    <row r="1308" spans="21:30" x14ac:dyDescent="0.25">
      <c r="U1308" s="9"/>
      <c r="X1308" s="9"/>
      <c r="AD1308" s="7"/>
    </row>
    <row r="1309" spans="21:30" x14ac:dyDescent="0.25">
      <c r="U1309" s="9"/>
      <c r="X1309" s="9"/>
      <c r="AD1309" s="7"/>
    </row>
    <row r="1310" spans="21:30" x14ac:dyDescent="0.25">
      <c r="U1310" s="9"/>
      <c r="X1310" s="9"/>
      <c r="AD1310" s="7"/>
    </row>
    <row r="1311" spans="21:30" x14ac:dyDescent="0.25">
      <c r="U1311" s="9"/>
      <c r="X1311" s="9"/>
      <c r="AD1311" s="7"/>
    </row>
    <row r="1312" spans="21:30" x14ac:dyDescent="0.25">
      <c r="U1312" s="9"/>
      <c r="X1312" s="9"/>
      <c r="AD1312" s="7"/>
    </row>
    <row r="1313" spans="21:30" x14ac:dyDescent="0.25">
      <c r="U1313" s="9"/>
      <c r="X1313" s="9"/>
      <c r="AD1313" s="7"/>
    </row>
    <row r="1314" spans="21:30" x14ac:dyDescent="0.25">
      <c r="U1314" s="9"/>
      <c r="X1314" s="9"/>
      <c r="AD1314" s="7"/>
    </row>
    <row r="1315" spans="21:30" x14ac:dyDescent="0.25">
      <c r="U1315" s="9"/>
      <c r="X1315" s="9"/>
      <c r="AD1315" s="7"/>
    </row>
    <row r="1316" spans="21:30" x14ac:dyDescent="0.25">
      <c r="U1316" s="9"/>
      <c r="X1316" s="9"/>
      <c r="AD1316" s="7"/>
    </row>
    <row r="1317" spans="21:30" x14ac:dyDescent="0.25">
      <c r="U1317" s="9"/>
      <c r="X1317" s="9"/>
      <c r="AD1317" s="7"/>
    </row>
    <row r="1318" spans="21:30" x14ac:dyDescent="0.25">
      <c r="U1318" s="9"/>
      <c r="X1318" s="9"/>
      <c r="AD1318" s="7"/>
    </row>
    <row r="1319" spans="21:30" x14ac:dyDescent="0.25">
      <c r="U1319" s="9"/>
      <c r="X1319" s="9"/>
      <c r="AD1319" s="7"/>
    </row>
    <row r="1320" spans="21:30" x14ac:dyDescent="0.25">
      <c r="U1320" s="9"/>
      <c r="X1320" s="9"/>
      <c r="AD1320" s="7"/>
    </row>
    <row r="1321" spans="21:30" x14ac:dyDescent="0.25">
      <c r="U1321" s="9"/>
      <c r="X1321" s="9"/>
      <c r="AD1321" s="7"/>
    </row>
    <row r="1322" spans="21:30" x14ac:dyDescent="0.25">
      <c r="U1322" s="9"/>
      <c r="X1322" s="9"/>
      <c r="AD1322" s="7"/>
    </row>
    <row r="1323" spans="21:30" x14ac:dyDescent="0.25">
      <c r="U1323" s="9"/>
      <c r="X1323" s="9"/>
      <c r="AD1323" s="7"/>
    </row>
    <row r="1324" spans="21:30" x14ac:dyDescent="0.25">
      <c r="U1324" s="9"/>
      <c r="X1324" s="9"/>
      <c r="AD1324" s="7"/>
    </row>
    <row r="1325" spans="21:30" x14ac:dyDescent="0.25">
      <c r="U1325" s="9"/>
      <c r="X1325" s="9"/>
      <c r="AD1325" s="7"/>
    </row>
    <row r="1326" spans="21:30" x14ac:dyDescent="0.25">
      <c r="U1326" s="9"/>
      <c r="X1326" s="9"/>
      <c r="AD1326" s="7"/>
    </row>
    <row r="1327" spans="21:30" x14ac:dyDescent="0.25">
      <c r="U1327" s="9"/>
      <c r="X1327" s="9"/>
      <c r="AD1327" s="7"/>
    </row>
    <row r="1328" spans="21:30" x14ac:dyDescent="0.25">
      <c r="U1328" s="9"/>
      <c r="X1328" s="9"/>
      <c r="AD1328" s="7"/>
    </row>
    <row r="1329" spans="21:30" x14ac:dyDescent="0.25">
      <c r="U1329" s="9"/>
      <c r="X1329" s="9"/>
      <c r="AD1329" s="7"/>
    </row>
    <row r="1330" spans="21:30" x14ac:dyDescent="0.25">
      <c r="U1330" s="9"/>
      <c r="X1330" s="9"/>
      <c r="AD1330" s="7"/>
    </row>
    <row r="1331" spans="21:30" x14ac:dyDescent="0.25">
      <c r="U1331" s="9"/>
      <c r="X1331" s="9"/>
      <c r="AD1331" s="7"/>
    </row>
    <row r="1332" spans="21:30" x14ac:dyDescent="0.25">
      <c r="U1332" s="9"/>
      <c r="X1332" s="9"/>
      <c r="AD1332" s="7"/>
    </row>
    <row r="1333" spans="21:30" x14ac:dyDescent="0.25">
      <c r="U1333" s="9"/>
      <c r="X1333" s="9"/>
      <c r="AD1333" s="7"/>
    </row>
    <row r="1334" spans="21:30" x14ac:dyDescent="0.25">
      <c r="U1334" s="9"/>
      <c r="X1334" s="9"/>
      <c r="AD1334" s="7"/>
    </row>
    <row r="1335" spans="21:30" x14ac:dyDescent="0.25">
      <c r="U1335" s="9"/>
      <c r="X1335" s="9"/>
      <c r="AD1335" s="7"/>
    </row>
    <row r="1336" spans="21:30" x14ac:dyDescent="0.25">
      <c r="U1336" s="9"/>
      <c r="X1336" s="9"/>
      <c r="AD1336" s="7"/>
    </row>
    <row r="1337" spans="21:30" x14ac:dyDescent="0.25">
      <c r="U1337" s="9"/>
      <c r="X1337" s="9"/>
      <c r="AD1337" s="7"/>
    </row>
    <row r="1338" spans="21:30" x14ac:dyDescent="0.25">
      <c r="U1338" s="9"/>
      <c r="X1338" s="9"/>
      <c r="AD1338" s="7"/>
    </row>
    <row r="1339" spans="21:30" x14ac:dyDescent="0.25">
      <c r="U1339" s="9"/>
      <c r="X1339" s="9"/>
      <c r="AD1339" s="7"/>
    </row>
    <row r="1340" spans="21:30" x14ac:dyDescent="0.25">
      <c r="U1340" s="9"/>
      <c r="X1340" s="9"/>
      <c r="AD1340" s="7"/>
    </row>
    <row r="1341" spans="21:30" x14ac:dyDescent="0.25">
      <c r="U1341" s="9"/>
      <c r="X1341" s="9"/>
      <c r="AD1341" s="7"/>
    </row>
    <row r="1342" spans="21:30" x14ac:dyDescent="0.25">
      <c r="U1342" s="9"/>
      <c r="X1342" s="9"/>
      <c r="AD1342" s="7"/>
    </row>
    <row r="1343" spans="21:30" x14ac:dyDescent="0.25">
      <c r="U1343" s="9"/>
      <c r="X1343" s="9"/>
      <c r="AD1343" s="7"/>
    </row>
    <row r="1344" spans="21:30" x14ac:dyDescent="0.25">
      <c r="U1344" s="9"/>
      <c r="X1344" s="9"/>
      <c r="AD1344" s="7"/>
    </row>
    <row r="1345" spans="21:30" x14ac:dyDescent="0.25">
      <c r="U1345" s="9"/>
      <c r="X1345" s="9"/>
      <c r="AD1345" s="7"/>
    </row>
    <row r="1346" spans="21:30" x14ac:dyDescent="0.25">
      <c r="U1346" s="9"/>
      <c r="X1346" s="9"/>
      <c r="AD1346" s="7"/>
    </row>
    <row r="1347" spans="21:30" x14ac:dyDescent="0.25">
      <c r="U1347" s="9"/>
      <c r="X1347" s="9"/>
      <c r="AD1347" s="7"/>
    </row>
    <row r="1348" spans="21:30" x14ac:dyDescent="0.25">
      <c r="U1348" s="9"/>
      <c r="X1348" s="9"/>
      <c r="AD1348" s="7"/>
    </row>
    <row r="1349" spans="21:30" x14ac:dyDescent="0.25">
      <c r="U1349" s="9"/>
      <c r="X1349" s="9"/>
      <c r="AD1349" s="7"/>
    </row>
    <row r="1350" spans="21:30" x14ac:dyDescent="0.25">
      <c r="U1350" s="9"/>
      <c r="X1350" s="9"/>
      <c r="AD1350" s="7"/>
    </row>
    <row r="1351" spans="21:30" x14ac:dyDescent="0.25">
      <c r="U1351" s="9"/>
      <c r="X1351" s="9"/>
      <c r="AD1351" s="7"/>
    </row>
    <row r="1352" spans="21:30" x14ac:dyDescent="0.25">
      <c r="U1352" s="9"/>
      <c r="X1352" s="9"/>
      <c r="AD1352" s="7"/>
    </row>
    <row r="1353" spans="21:30" x14ac:dyDescent="0.25">
      <c r="U1353" s="9"/>
      <c r="X1353" s="9"/>
      <c r="AD1353" s="7"/>
    </row>
    <row r="1354" spans="21:30" x14ac:dyDescent="0.25">
      <c r="U1354" s="9"/>
      <c r="X1354" s="9"/>
      <c r="AD1354" s="7"/>
    </row>
    <row r="1355" spans="21:30" x14ac:dyDescent="0.25">
      <c r="U1355" s="9"/>
      <c r="X1355" s="9"/>
      <c r="AD1355" s="7"/>
    </row>
    <row r="1356" spans="21:30" x14ac:dyDescent="0.25">
      <c r="U1356" s="9"/>
      <c r="X1356" s="9"/>
      <c r="AD1356" s="7"/>
    </row>
    <row r="1357" spans="21:30" x14ac:dyDescent="0.25">
      <c r="U1357" s="9"/>
      <c r="X1357" s="9"/>
      <c r="AD1357" s="7"/>
    </row>
    <row r="1358" spans="21:30" x14ac:dyDescent="0.25">
      <c r="U1358" s="9"/>
      <c r="X1358" s="9"/>
      <c r="AD1358" s="7"/>
    </row>
    <row r="1359" spans="21:30" x14ac:dyDescent="0.25">
      <c r="U1359" s="9"/>
      <c r="X1359" s="9"/>
      <c r="AD1359" s="7"/>
    </row>
    <row r="1360" spans="21:30" x14ac:dyDescent="0.25">
      <c r="U1360" s="9"/>
      <c r="X1360" s="9"/>
      <c r="AD1360" s="7"/>
    </row>
    <row r="1361" spans="21:30" x14ac:dyDescent="0.25">
      <c r="U1361" s="9"/>
      <c r="X1361" s="9"/>
      <c r="AD1361" s="7"/>
    </row>
    <row r="1362" spans="21:30" x14ac:dyDescent="0.25">
      <c r="U1362" s="9"/>
      <c r="X1362" s="9"/>
      <c r="AD1362" s="7"/>
    </row>
    <row r="1363" spans="21:30" x14ac:dyDescent="0.25">
      <c r="U1363" s="9"/>
      <c r="X1363" s="9"/>
      <c r="AD1363" s="7"/>
    </row>
    <row r="1364" spans="21:30" x14ac:dyDescent="0.25">
      <c r="U1364" s="9"/>
      <c r="X1364" s="9"/>
      <c r="AD1364" s="7"/>
    </row>
    <row r="1365" spans="21:30" x14ac:dyDescent="0.25">
      <c r="U1365" s="9"/>
      <c r="X1365" s="9"/>
      <c r="AD1365" s="7"/>
    </row>
    <row r="1366" spans="21:30" x14ac:dyDescent="0.25">
      <c r="U1366" s="9"/>
      <c r="X1366" s="9"/>
      <c r="AD1366" s="7"/>
    </row>
    <row r="1367" spans="21:30" x14ac:dyDescent="0.25">
      <c r="U1367" s="9"/>
      <c r="X1367" s="9"/>
      <c r="AD1367" s="7"/>
    </row>
    <row r="1368" spans="21:30" x14ac:dyDescent="0.25">
      <c r="U1368" s="9"/>
      <c r="X1368" s="9"/>
      <c r="AD1368" s="7"/>
    </row>
    <row r="1369" spans="21:30" x14ac:dyDescent="0.25">
      <c r="U1369" s="9"/>
      <c r="X1369" s="9"/>
      <c r="AD1369" s="7"/>
    </row>
    <row r="1370" spans="21:30" x14ac:dyDescent="0.25">
      <c r="U1370" s="9"/>
      <c r="X1370" s="9"/>
      <c r="AD1370" s="7"/>
    </row>
    <row r="1371" spans="21:30" x14ac:dyDescent="0.25">
      <c r="U1371" s="9"/>
      <c r="X1371" s="9"/>
      <c r="AD1371" s="7"/>
    </row>
    <row r="1372" spans="21:30" x14ac:dyDescent="0.25">
      <c r="U1372" s="9"/>
      <c r="X1372" s="9"/>
      <c r="AD1372" s="7"/>
    </row>
    <row r="1373" spans="21:30" x14ac:dyDescent="0.25">
      <c r="U1373" s="9"/>
      <c r="X1373" s="9"/>
      <c r="AD1373" s="7"/>
    </row>
    <row r="1374" spans="21:30" x14ac:dyDescent="0.25">
      <c r="U1374" s="9"/>
      <c r="X1374" s="9"/>
      <c r="AD1374" s="7"/>
    </row>
    <row r="1375" spans="21:30" x14ac:dyDescent="0.25">
      <c r="U1375" s="9"/>
      <c r="X1375" s="9"/>
      <c r="AD1375" s="7"/>
    </row>
    <row r="1376" spans="21:30" x14ac:dyDescent="0.25">
      <c r="U1376" s="9"/>
      <c r="X1376" s="9"/>
      <c r="AD1376" s="7"/>
    </row>
    <row r="1377" spans="21:30" x14ac:dyDescent="0.25">
      <c r="U1377" s="9"/>
      <c r="X1377" s="9"/>
      <c r="AD1377" s="7"/>
    </row>
    <row r="1378" spans="21:30" x14ac:dyDescent="0.25">
      <c r="U1378" s="9"/>
      <c r="X1378" s="9"/>
      <c r="AD1378" s="7"/>
    </row>
    <row r="1379" spans="21:30" x14ac:dyDescent="0.25">
      <c r="U1379" s="9"/>
      <c r="X1379" s="9"/>
      <c r="AD1379" s="7"/>
    </row>
    <row r="1380" spans="21:30" x14ac:dyDescent="0.25">
      <c r="U1380" s="9"/>
      <c r="X1380" s="9"/>
      <c r="AD1380" s="7"/>
    </row>
    <row r="1381" spans="21:30" x14ac:dyDescent="0.25">
      <c r="U1381" s="9"/>
      <c r="X1381" s="9"/>
      <c r="AD1381" s="7"/>
    </row>
    <row r="1382" spans="21:30" x14ac:dyDescent="0.25">
      <c r="U1382" s="9"/>
      <c r="X1382" s="9"/>
      <c r="AD1382" s="7"/>
    </row>
    <row r="1383" spans="21:30" x14ac:dyDescent="0.25">
      <c r="U1383" s="9"/>
      <c r="X1383" s="9"/>
      <c r="AD1383" s="7"/>
    </row>
    <row r="1384" spans="21:30" x14ac:dyDescent="0.25">
      <c r="U1384" s="9"/>
      <c r="X1384" s="9"/>
      <c r="AD1384" s="7"/>
    </row>
    <row r="1385" spans="21:30" x14ac:dyDescent="0.25">
      <c r="U1385" s="9"/>
      <c r="X1385" s="9"/>
      <c r="AD1385" s="7"/>
    </row>
    <row r="1386" spans="21:30" x14ac:dyDescent="0.25">
      <c r="U1386" s="9"/>
      <c r="X1386" s="9"/>
      <c r="AD1386" s="7"/>
    </row>
    <row r="1387" spans="21:30" x14ac:dyDescent="0.25">
      <c r="U1387" s="9"/>
      <c r="X1387" s="9"/>
      <c r="AD1387" s="7"/>
    </row>
    <row r="1388" spans="21:30" x14ac:dyDescent="0.25">
      <c r="U1388" s="9"/>
      <c r="X1388" s="9"/>
      <c r="AD1388" s="7"/>
    </row>
    <row r="1389" spans="21:30" x14ac:dyDescent="0.25">
      <c r="U1389" s="9"/>
      <c r="X1389" s="9"/>
      <c r="AD1389" s="7"/>
    </row>
    <row r="1390" spans="21:30" x14ac:dyDescent="0.25">
      <c r="U1390" s="9"/>
      <c r="X1390" s="9"/>
      <c r="AD1390" s="7"/>
    </row>
    <row r="1391" spans="21:30" x14ac:dyDescent="0.25">
      <c r="U1391" s="9"/>
      <c r="X1391" s="9"/>
      <c r="AD1391" s="7"/>
    </row>
    <row r="1392" spans="21:30" x14ac:dyDescent="0.25">
      <c r="U1392" s="9"/>
      <c r="X1392" s="9"/>
      <c r="AD1392" s="7"/>
    </row>
    <row r="1393" spans="21:30" x14ac:dyDescent="0.25">
      <c r="U1393" s="9"/>
      <c r="X1393" s="9"/>
      <c r="AD1393" s="7"/>
    </row>
    <row r="1394" spans="21:30" x14ac:dyDescent="0.25">
      <c r="U1394" s="9"/>
      <c r="X1394" s="9"/>
      <c r="AD1394" s="7"/>
    </row>
    <row r="1395" spans="21:30" x14ac:dyDescent="0.25">
      <c r="U1395" s="9"/>
      <c r="X1395" s="9"/>
      <c r="AD1395" s="7"/>
    </row>
    <row r="1396" spans="21:30" x14ac:dyDescent="0.25">
      <c r="U1396" s="9"/>
      <c r="X1396" s="9"/>
      <c r="AD1396" s="7"/>
    </row>
    <row r="1397" spans="21:30" x14ac:dyDescent="0.25">
      <c r="U1397" s="9"/>
      <c r="X1397" s="9"/>
      <c r="AD1397" s="7"/>
    </row>
    <row r="1398" spans="21:30" x14ac:dyDescent="0.25">
      <c r="U1398" s="9"/>
      <c r="X1398" s="9"/>
      <c r="AD1398" s="7"/>
    </row>
    <row r="1399" spans="21:30" x14ac:dyDescent="0.25">
      <c r="U1399" s="9"/>
      <c r="X1399" s="9"/>
      <c r="AD1399" s="7"/>
    </row>
    <row r="1400" spans="21:30" x14ac:dyDescent="0.25">
      <c r="U1400" s="9"/>
      <c r="X1400" s="9"/>
      <c r="AD1400" s="7"/>
    </row>
    <row r="1401" spans="21:30" x14ac:dyDescent="0.25">
      <c r="U1401" s="9"/>
      <c r="X1401" s="9"/>
      <c r="AD1401" s="7"/>
    </row>
    <row r="1402" spans="21:30" x14ac:dyDescent="0.25">
      <c r="U1402" s="9"/>
      <c r="X1402" s="9"/>
      <c r="AD1402" s="7"/>
    </row>
    <row r="1403" spans="21:30" x14ac:dyDescent="0.25">
      <c r="U1403" s="9"/>
      <c r="X1403" s="9"/>
      <c r="AD1403" s="7"/>
    </row>
    <row r="1404" spans="21:30" x14ac:dyDescent="0.25">
      <c r="U1404" s="9"/>
      <c r="X1404" s="9"/>
      <c r="AD1404" s="7"/>
    </row>
    <row r="1405" spans="21:30" x14ac:dyDescent="0.25">
      <c r="U1405" s="9"/>
      <c r="X1405" s="9"/>
      <c r="AD1405" s="7"/>
    </row>
    <row r="1406" spans="21:30" x14ac:dyDescent="0.25">
      <c r="U1406" s="9"/>
      <c r="X1406" s="9"/>
      <c r="AD1406" s="7"/>
    </row>
    <row r="1407" spans="21:30" x14ac:dyDescent="0.25">
      <c r="U1407" s="9"/>
      <c r="X1407" s="9"/>
      <c r="AD1407" s="7"/>
    </row>
    <row r="1408" spans="21:30" x14ac:dyDescent="0.25">
      <c r="U1408" s="9"/>
      <c r="X1408" s="9"/>
      <c r="AD1408" s="7"/>
    </row>
    <row r="1409" spans="21:30" x14ac:dyDescent="0.25">
      <c r="U1409" s="9"/>
      <c r="X1409" s="9"/>
      <c r="AD1409" s="7"/>
    </row>
    <row r="1410" spans="21:30" x14ac:dyDescent="0.25">
      <c r="U1410" s="9"/>
      <c r="X1410" s="9"/>
      <c r="AD1410" s="7"/>
    </row>
    <row r="1411" spans="21:30" x14ac:dyDescent="0.25">
      <c r="U1411" s="9"/>
      <c r="X1411" s="9"/>
      <c r="AD1411" s="7"/>
    </row>
    <row r="1412" spans="21:30" x14ac:dyDescent="0.25">
      <c r="U1412" s="9"/>
      <c r="X1412" s="9"/>
      <c r="AD1412" s="7"/>
    </row>
    <row r="1413" spans="21:30" x14ac:dyDescent="0.25">
      <c r="U1413" s="9"/>
      <c r="X1413" s="9"/>
      <c r="AD1413" s="7"/>
    </row>
    <row r="1414" spans="21:30" x14ac:dyDescent="0.25">
      <c r="U1414" s="9"/>
      <c r="X1414" s="9"/>
      <c r="AD1414" s="7"/>
    </row>
    <row r="1415" spans="21:30" x14ac:dyDescent="0.25">
      <c r="U1415" s="9"/>
      <c r="X1415" s="9"/>
      <c r="AD1415" s="7"/>
    </row>
    <row r="1416" spans="21:30" x14ac:dyDescent="0.25">
      <c r="U1416" s="9"/>
      <c r="X1416" s="9"/>
      <c r="AD1416" s="7"/>
    </row>
    <row r="1417" spans="21:30" x14ac:dyDescent="0.25">
      <c r="U1417" s="9"/>
      <c r="X1417" s="9"/>
      <c r="AD1417" s="7"/>
    </row>
    <row r="1418" spans="21:30" x14ac:dyDescent="0.25">
      <c r="U1418" s="9"/>
      <c r="X1418" s="9"/>
      <c r="AD1418" s="7"/>
    </row>
    <row r="1419" spans="21:30" x14ac:dyDescent="0.25">
      <c r="U1419" s="9"/>
      <c r="X1419" s="9"/>
      <c r="AD1419" s="7"/>
    </row>
    <row r="1420" spans="21:30" x14ac:dyDescent="0.25">
      <c r="U1420" s="9"/>
      <c r="X1420" s="9"/>
      <c r="AD1420" s="7"/>
    </row>
    <row r="1421" spans="21:30" x14ac:dyDescent="0.25">
      <c r="U1421" s="9"/>
      <c r="X1421" s="9"/>
      <c r="AD1421" s="7"/>
    </row>
    <row r="1422" spans="21:30" x14ac:dyDescent="0.25">
      <c r="U1422" s="9"/>
      <c r="X1422" s="9"/>
      <c r="AD1422" s="7"/>
    </row>
    <row r="1423" spans="21:30" x14ac:dyDescent="0.25">
      <c r="U1423" s="9"/>
      <c r="X1423" s="9"/>
      <c r="AD1423" s="7"/>
    </row>
    <row r="1424" spans="21:30" x14ac:dyDescent="0.25">
      <c r="U1424" s="9"/>
      <c r="X1424" s="9"/>
      <c r="AD1424" s="7"/>
    </row>
    <row r="1425" spans="21:30" x14ac:dyDescent="0.25">
      <c r="U1425" s="9"/>
      <c r="X1425" s="9"/>
      <c r="AD1425" s="7"/>
    </row>
    <row r="1426" spans="21:30" x14ac:dyDescent="0.25">
      <c r="U1426" s="9"/>
      <c r="X1426" s="9"/>
      <c r="AD1426" s="7"/>
    </row>
    <row r="1427" spans="21:30" x14ac:dyDescent="0.25">
      <c r="U1427" s="9"/>
      <c r="X1427" s="9"/>
      <c r="AD1427" s="7"/>
    </row>
    <row r="1428" spans="21:30" x14ac:dyDescent="0.25">
      <c r="U1428" s="9"/>
      <c r="X1428" s="9"/>
      <c r="AD1428" s="7"/>
    </row>
    <row r="1429" spans="21:30" x14ac:dyDescent="0.25">
      <c r="U1429" s="9"/>
      <c r="X1429" s="9"/>
      <c r="AD1429" s="7"/>
    </row>
    <row r="1430" spans="21:30" x14ac:dyDescent="0.25">
      <c r="U1430" s="9"/>
      <c r="X1430" s="9"/>
      <c r="AD1430" s="7"/>
    </row>
    <row r="1431" spans="21:30" x14ac:dyDescent="0.25">
      <c r="U1431" s="9"/>
      <c r="X1431" s="9"/>
      <c r="AD1431" s="7"/>
    </row>
    <row r="1432" spans="21:30" x14ac:dyDescent="0.25">
      <c r="U1432" s="9"/>
      <c r="X1432" s="9"/>
      <c r="AD1432" s="7"/>
    </row>
    <row r="1433" spans="21:30" x14ac:dyDescent="0.25">
      <c r="U1433" s="9"/>
      <c r="X1433" s="9"/>
      <c r="AD1433" s="7"/>
    </row>
    <row r="1434" spans="21:30" x14ac:dyDescent="0.25">
      <c r="U1434" s="9"/>
      <c r="X1434" s="9"/>
      <c r="AD1434" s="7"/>
    </row>
    <row r="1435" spans="21:30" x14ac:dyDescent="0.25">
      <c r="U1435" s="9"/>
      <c r="X1435" s="9"/>
      <c r="AD1435" s="7"/>
    </row>
    <row r="1436" spans="21:30" x14ac:dyDescent="0.25">
      <c r="U1436" s="9"/>
      <c r="X1436" s="9"/>
      <c r="AD1436" s="7"/>
    </row>
    <row r="1437" spans="21:30" x14ac:dyDescent="0.25">
      <c r="U1437" s="9"/>
      <c r="X1437" s="9"/>
      <c r="AD1437" s="7"/>
    </row>
    <row r="1438" spans="21:30" x14ac:dyDescent="0.25">
      <c r="U1438" s="9"/>
      <c r="X1438" s="9"/>
      <c r="AD1438" s="7"/>
    </row>
    <row r="1439" spans="21:30" x14ac:dyDescent="0.25">
      <c r="U1439" s="9"/>
      <c r="X1439" s="9"/>
      <c r="AD1439" s="7"/>
    </row>
    <row r="1440" spans="21:30" x14ac:dyDescent="0.25">
      <c r="U1440" s="9"/>
      <c r="X1440" s="9"/>
      <c r="AD1440" s="7"/>
    </row>
    <row r="1441" spans="21:30" x14ac:dyDescent="0.25">
      <c r="U1441" s="9"/>
      <c r="X1441" s="9"/>
      <c r="AD1441" s="7"/>
    </row>
    <row r="1442" spans="21:30" x14ac:dyDescent="0.25">
      <c r="U1442" s="9"/>
      <c r="X1442" s="9"/>
      <c r="AD1442" s="7"/>
    </row>
    <row r="1443" spans="21:30" x14ac:dyDescent="0.25">
      <c r="U1443" s="9"/>
      <c r="X1443" s="9"/>
      <c r="AD1443" s="7"/>
    </row>
    <row r="1444" spans="21:30" x14ac:dyDescent="0.25">
      <c r="U1444" s="9"/>
      <c r="X1444" s="9"/>
      <c r="AD1444" s="7"/>
    </row>
    <row r="1445" spans="21:30" x14ac:dyDescent="0.25">
      <c r="U1445" s="9"/>
      <c r="X1445" s="9"/>
      <c r="AD1445" s="7"/>
    </row>
    <row r="1446" spans="21:30" x14ac:dyDescent="0.25">
      <c r="U1446" s="9"/>
      <c r="X1446" s="9"/>
      <c r="AD1446" s="7"/>
    </row>
    <row r="1447" spans="21:30" x14ac:dyDescent="0.25">
      <c r="U1447" s="9"/>
      <c r="X1447" s="9"/>
      <c r="AD1447" s="7"/>
    </row>
    <row r="1448" spans="21:30" x14ac:dyDescent="0.25">
      <c r="U1448" s="9"/>
      <c r="X1448" s="9"/>
      <c r="AD1448" s="7"/>
    </row>
    <row r="1449" spans="21:30" x14ac:dyDescent="0.25">
      <c r="U1449" s="9"/>
      <c r="X1449" s="9"/>
      <c r="AD1449" s="7"/>
    </row>
    <row r="1450" spans="21:30" x14ac:dyDescent="0.25">
      <c r="U1450" s="9"/>
      <c r="X1450" s="9"/>
      <c r="AD1450" s="7"/>
    </row>
    <row r="1451" spans="21:30" x14ac:dyDescent="0.25">
      <c r="U1451" s="9"/>
      <c r="X1451" s="9"/>
      <c r="AD1451" s="7"/>
    </row>
    <row r="1452" spans="21:30" x14ac:dyDescent="0.25">
      <c r="U1452" s="9"/>
      <c r="X1452" s="9"/>
      <c r="AD1452" s="7"/>
    </row>
    <row r="1453" spans="21:30" x14ac:dyDescent="0.25">
      <c r="U1453" s="9"/>
      <c r="X1453" s="9"/>
      <c r="AD1453" s="7"/>
    </row>
    <row r="1454" spans="21:30" x14ac:dyDescent="0.25">
      <c r="U1454" s="9"/>
      <c r="X1454" s="9"/>
      <c r="AD1454" s="7"/>
    </row>
    <row r="1455" spans="21:30" x14ac:dyDescent="0.25">
      <c r="U1455" s="9"/>
      <c r="X1455" s="9"/>
      <c r="AD1455" s="7"/>
    </row>
    <row r="1456" spans="21:30" x14ac:dyDescent="0.25">
      <c r="U1456" s="9"/>
      <c r="X1456" s="9"/>
      <c r="AD1456" s="7"/>
    </row>
    <row r="1457" spans="21:30" x14ac:dyDescent="0.25">
      <c r="U1457" s="9"/>
      <c r="X1457" s="9"/>
      <c r="AD1457" s="7"/>
    </row>
    <row r="1458" spans="21:30" x14ac:dyDescent="0.25">
      <c r="U1458" s="9"/>
      <c r="X1458" s="9"/>
      <c r="AD1458" s="7"/>
    </row>
    <row r="1459" spans="21:30" x14ac:dyDescent="0.25">
      <c r="U1459" s="9"/>
      <c r="X1459" s="9"/>
      <c r="AD1459" s="7"/>
    </row>
    <row r="1460" spans="21:30" x14ac:dyDescent="0.25">
      <c r="U1460" s="9"/>
      <c r="X1460" s="9"/>
      <c r="AD1460" s="7"/>
    </row>
    <row r="1461" spans="21:30" x14ac:dyDescent="0.25">
      <c r="U1461" s="9"/>
      <c r="X1461" s="9"/>
      <c r="AD1461" s="7"/>
    </row>
    <row r="1462" spans="21:30" x14ac:dyDescent="0.25">
      <c r="U1462" s="9"/>
      <c r="X1462" s="9"/>
      <c r="AD1462" s="7"/>
    </row>
    <row r="1463" spans="21:30" x14ac:dyDescent="0.25">
      <c r="U1463" s="9"/>
      <c r="X1463" s="9"/>
      <c r="AD1463" s="7"/>
    </row>
    <row r="1464" spans="21:30" x14ac:dyDescent="0.25">
      <c r="U1464" s="9"/>
      <c r="X1464" s="9"/>
      <c r="AD1464" s="7"/>
    </row>
    <row r="1465" spans="21:30" x14ac:dyDescent="0.25">
      <c r="U1465" s="9"/>
      <c r="X1465" s="9"/>
      <c r="AD1465" s="7"/>
    </row>
    <row r="1466" spans="21:30" x14ac:dyDescent="0.25">
      <c r="U1466" s="9"/>
      <c r="X1466" s="9"/>
      <c r="AD1466" s="7"/>
    </row>
    <row r="1467" spans="21:30" x14ac:dyDescent="0.25">
      <c r="U1467" s="9"/>
      <c r="X1467" s="9"/>
      <c r="AD1467" s="7"/>
    </row>
    <row r="1468" spans="21:30" x14ac:dyDescent="0.25">
      <c r="U1468" s="9"/>
      <c r="X1468" s="9"/>
      <c r="AD1468" s="7"/>
    </row>
    <row r="1469" spans="21:30" x14ac:dyDescent="0.25">
      <c r="U1469" s="9"/>
      <c r="X1469" s="9"/>
      <c r="AD1469" s="7"/>
    </row>
    <row r="1470" spans="21:30" x14ac:dyDescent="0.25">
      <c r="U1470" s="9"/>
      <c r="X1470" s="9"/>
      <c r="AD1470" s="7"/>
    </row>
    <row r="1471" spans="21:30" x14ac:dyDescent="0.25">
      <c r="U1471" s="9"/>
      <c r="X1471" s="9"/>
      <c r="AD1471" s="7"/>
    </row>
    <row r="1472" spans="21:30" x14ac:dyDescent="0.25">
      <c r="U1472" s="9"/>
      <c r="X1472" s="9"/>
      <c r="AD1472" s="7"/>
    </row>
    <row r="1473" spans="21:30" x14ac:dyDescent="0.25">
      <c r="U1473" s="9"/>
      <c r="X1473" s="9"/>
      <c r="AD1473" s="7"/>
    </row>
    <row r="1474" spans="21:30" x14ac:dyDescent="0.25">
      <c r="U1474" s="9"/>
      <c r="X1474" s="9"/>
      <c r="AD1474" s="7"/>
    </row>
    <row r="1475" spans="21:30" x14ac:dyDescent="0.25">
      <c r="U1475" s="9"/>
      <c r="X1475" s="9"/>
      <c r="AD1475" s="7"/>
    </row>
    <row r="1476" spans="21:30" x14ac:dyDescent="0.25">
      <c r="U1476" s="9"/>
      <c r="X1476" s="9"/>
      <c r="AD1476" s="7"/>
    </row>
    <row r="1477" spans="21:30" x14ac:dyDescent="0.25">
      <c r="U1477" s="9"/>
      <c r="X1477" s="9"/>
      <c r="AD1477" s="7"/>
    </row>
    <row r="1478" spans="21:30" x14ac:dyDescent="0.25">
      <c r="U1478" s="9"/>
      <c r="X1478" s="9"/>
      <c r="AD1478" s="7"/>
    </row>
    <row r="1479" spans="21:30" x14ac:dyDescent="0.25">
      <c r="U1479" s="9"/>
      <c r="X1479" s="9"/>
      <c r="AD1479" s="7"/>
    </row>
    <row r="1480" spans="21:30" x14ac:dyDescent="0.25">
      <c r="U1480" s="9"/>
      <c r="X1480" s="9"/>
      <c r="AD1480" s="7"/>
    </row>
    <row r="1481" spans="21:30" x14ac:dyDescent="0.25">
      <c r="U1481" s="9"/>
      <c r="X1481" s="9"/>
      <c r="AD1481" s="7"/>
    </row>
    <row r="1482" spans="21:30" x14ac:dyDescent="0.25">
      <c r="U1482" s="9"/>
      <c r="X1482" s="9"/>
      <c r="AD1482" s="7"/>
    </row>
    <row r="1483" spans="21:30" x14ac:dyDescent="0.25">
      <c r="U1483" s="9"/>
      <c r="X1483" s="9"/>
      <c r="AD1483" s="7"/>
    </row>
    <row r="1484" spans="21:30" x14ac:dyDescent="0.25">
      <c r="U1484" s="9"/>
      <c r="X1484" s="9"/>
      <c r="AD1484" s="7"/>
    </row>
    <row r="1485" spans="21:30" x14ac:dyDescent="0.25">
      <c r="U1485" s="9"/>
      <c r="X1485" s="9"/>
      <c r="AD1485" s="7"/>
    </row>
    <row r="1486" spans="21:30" x14ac:dyDescent="0.25">
      <c r="U1486" s="9"/>
      <c r="X1486" s="9"/>
      <c r="AD1486" s="7"/>
    </row>
    <row r="1487" spans="21:30" x14ac:dyDescent="0.25">
      <c r="U1487" s="9"/>
      <c r="X1487" s="9"/>
      <c r="AD1487" s="7"/>
    </row>
    <row r="1488" spans="21:30" x14ac:dyDescent="0.25">
      <c r="U1488" s="9"/>
      <c r="X1488" s="9"/>
      <c r="AD1488" s="7"/>
    </row>
    <row r="1489" spans="21:30" x14ac:dyDescent="0.25">
      <c r="U1489" s="9"/>
      <c r="X1489" s="9"/>
      <c r="AD1489" s="7"/>
    </row>
    <row r="1490" spans="21:30" x14ac:dyDescent="0.25">
      <c r="U1490" s="9"/>
      <c r="X1490" s="9"/>
      <c r="AD1490" s="7"/>
    </row>
    <row r="1491" spans="21:30" x14ac:dyDescent="0.25">
      <c r="U1491" s="9"/>
      <c r="X1491" s="9"/>
      <c r="AD1491" s="7"/>
    </row>
    <row r="1492" spans="21:30" x14ac:dyDescent="0.25">
      <c r="U1492" s="9"/>
      <c r="X1492" s="9"/>
      <c r="AD1492" s="7"/>
    </row>
    <row r="1493" spans="21:30" x14ac:dyDescent="0.25">
      <c r="U1493" s="9"/>
      <c r="X1493" s="9"/>
      <c r="AD1493" s="7"/>
    </row>
    <row r="1494" spans="21:30" x14ac:dyDescent="0.25">
      <c r="U1494" s="9"/>
      <c r="X1494" s="9"/>
      <c r="AD1494" s="7"/>
    </row>
    <row r="1495" spans="21:30" x14ac:dyDescent="0.25">
      <c r="U1495" s="9"/>
      <c r="X1495" s="9"/>
      <c r="AD1495" s="7"/>
    </row>
    <row r="1496" spans="21:30" x14ac:dyDescent="0.25">
      <c r="U1496" s="9"/>
      <c r="X1496" s="9"/>
      <c r="AD1496" s="7"/>
    </row>
    <row r="1497" spans="21:30" x14ac:dyDescent="0.25">
      <c r="U1497" s="9"/>
      <c r="X1497" s="9"/>
      <c r="AD1497" s="7"/>
    </row>
    <row r="1498" spans="21:30" x14ac:dyDescent="0.25">
      <c r="U1498" s="9"/>
      <c r="X1498" s="9"/>
      <c r="AD1498" s="7"/>
    </row>
    <row r="1499" spans="21:30" x14ac:dyDescent="0.25">
      <c r="U1499" s="9"/>
      <c r="X1499" s="9"/>
      <c r="AD1499" s="7"/>
    </row>
    <row r="1500" spans="21:30" x14ac:dyDescent="0.25">
      <c r="U1500" s="9"/>
      <c r="X1500" s="9"/>
      <c r="AD1500" s="7"/>
    </row>
    <row r="1501" spans="21:30" x14ac:dyDescent="0.25">
      <c r="U1501" s="9"/>
      <c r="X1501" s="9"/>
      <c r="AD1501" s="7"/>
    </row>
    <row r="1502" spans="21:30" x14ac:dyDescent="0.25">
      <c r="U1502" s="9"/>
      <c r="X1502" s="9"/>
      <c r="AD1502" s="7"/>
    </row>
    <row r="1503" spans="21:30" x14ac:dyDescent="0.25">
      <c r="U1503" s="9"/>
      <c r="X1503" s="9"/>
      <c r="AD1503" s="7"/>
    </row>
    <row r="1504" spans="21:30" x14ac:dyDescent="0.25">
      <c r="U1504" s="9"/>
      <c r="X1504" s="9"/>
      <c r="AD1504" s="7"/>
    </row>
    <row r="1505" spans="21:30" x14ac:dyDescent="0.25">
      <c r="U1505" s="9"/>
      <c r="X1505" s="9"/>
      <c r="AD1505" s="7"/>
    </row>
    <row r="1506" spans="21:30" x14ac:dyDescent="0.25">
      <c r="U1506" s="9"/>
      <c r="X1506" s="9"/>
      <c r="AD1506" s="7"/>
    </row>
    <row r="1507" spans="21:30" x14ac:dyDescent="0.25">
      <c r="U1507" s="9"/>
      <c r="X1507" s="9"/>
      <c r="AD1507" s="7"/>
    </row>
    <row r="1508" spans="21:30" x14ac:dyDescent="0.25">
      <c r="U1508" s="9"/>
      <c r="X1508" s="9"/>
      <c r="AD1508" s="7"/>
    </row>
    <row r="1509" spans="21:30" x14ac:dyDescent="0.25">
      <c r="U1509" s="9"/>
      <c r="X1509" s="9"/>
      <c r="AD1509" s="7"/>
    </row>
    <row r="1510" spans="21:30" x14ac:dyDescent="0.25">
      <c r="U1510" s="9"/>
      <c r="X1510" s="9"/>
      <c r="AD1510" s="7"/>
    </row>
    <row r="1511" spans="21:30" x14ac:dyDescent="0.25">
      <c r="U1511" s="9"/>
      <c r="X1511" s="9"/>
      <c r="AD1511" s="7"/>
    </row>
    <row r="1512" spans="21:30" x14ac:dyDescent="0.25">
      <c r="U1512" s="9"/>
      <c r="X1512" s="9"/>
      <c r="AD1512" s="7"/>
    </row>
    <row r="1513" spans="21:30" x14ac:dyDescent="0.25">
      <c r="U1513" s="9"/>
      <c r="X1513" s="9"/>
      <c r="AD1513" s="7"/>
    </row>
    <row r="1514" spans="21:30" x14ac:dyDescent="0.25">
      <c r="U1514" s="9"/>
      <c r="X1514" s="9"/>
      <c r="AD1514" s="7"/>
    </row>
    <row r="1515" spans="21:30" x14ac:dyDescent="0.25">
      <c r="U1515" s="9"/>
      <c r="X1515" s="9"/>
      <c r="AD1515" s="7"/>
    </row>
    <row r="1516" spans="21:30" x14ac:dyDescent="0.25">
      <c r="U1516" s="9"/>
      <c r="X1516" s="9"/>
      <c r="AD1516" s="7"/>
    </row>
    <row r="1517" spans="21:30" x14ac:dyDescent="0.25">
      <c r="U1517" s="9"/>
      <c r="X1517" s="9"/>
      <c r="AD1517" s="7"/>
    </row>
    <row r="1518" spans="21:30" x14ac:dyDescent="0.25">
      <c r="U1518" s="9"/>
      <c r="X1518" s="9"/>
      <c r="AD1518" s="7"/>
    </row>
    <row r="1519" spans="21:30" x14ac:dyDescent="0.25">
      <c r="U1519" s="9"/>
      <c r="X1519" s="9"/>
      <c r="AD1519" s="7"/>
    </row>
    <row r="1520" spans="21:30" x14ac:dyDescent="0.25">
      <c r="U1520" s="9"/>
      <c r="X1520" s="9"/>
      <c r="AD1520" s="7"/>
    </row>
    <row r="1521" spans="21:30" x14ac:dyDescent="0.25">
      <c r="U1521" s="9"/>
      <c r="X1521" s="9"/>
      <c r="AD1521" s="7"/>
    </row>
    <row r="1522" spans="21:30" x14ac:dyDescent="0.25">
      <c r="U1522" s="9"/>
      <c r="X1522" s="9"/>
      <c r="AD1522" s="7"/>
    </row>
    <row r="1523" spans="21:30" x14ac:dyDescent="0.25">
      <c r="U1523" s="9"/>
      <c r="X1523" s="9"/>
      <c r="AD1523" s="7"/>
    </row>
    <row r="1524" spans="21:30" x14ac:dyDescent="0.25">
      <c r="U1524" s="9"/>
      <c r="X1524" s="9"/>
      <c r="AD1524" s="7"/>
    </row>
    <row r="1525" spans="21:30" x14ac:dyDescent="0.25">
      <c r="U1525" s="9"/>
      <c r="X1525" s="9"/>
      <c r="AD1525" s="7"/>
    </row>
    <row r="1526" spans="21:30" x14ac:dyDescent="0.25">
      <c r="U1526" s="9"/>
      <c r="X1526" s="9"/>
      <c r="AD1526" s="7"/>
    </row>
    <row r="1527" spans="21:30" x14ac:dyDescent="0.25">
      <c r="U1527" s="9"/>
      <c r="X1527" s="9"/>
      <c r="AD1527" s="7"/>
    </row>
    <row r="1528" spans="21:30" x14ac:dyDescent="0.25">
      <c r="U1528" s="9"/>
      <c r="X1528" s="9"/>
      <c r="AD1528" s="7"/>
    </row>
    <row r="1529" spans="21:30" x14ac:dyDescent="0.25">
      <c r="U1529" s="9"/>
      <c r="X1529" s="9"/>
      <c r="AD1529" s="7"/>
    </row>
    <row r="1530" spans="21:30" x14ac:dyDescent="0.25">
      <c r="U1530" s="9"/>
      <c r="X1530" s="9"/>
      <c r="AD1530" s="7"/>
    </row>
    <row r="1531" spans="21:30" x14ac:dyDescent="0.25">
      <c r="U1531" s="9"/>
      <c r="X1531" s="9"/>
      <c r="AD1531" s="7"/>
    </row>
    <row r="1532" spans="21:30" x14ac:dyDescent="0.25">
      <c r="U1532" s="9"/>
      <c r="X1532" s="9"/>
      <c r="AD1532" s="7"/>
    </row>
    <row r="1533" spans="21:30" x14ac:dyDescent="0.25">
      <c r="U1533" s="9"/>
      <c r="X1533" s="9"/>
      <c r="AD1533" s="7"/>
    </row>
    <row r="1534" spans="21:30" x14ac:dyDescent="0.25">
      <c r="U1534" s="9"/>
      <c r="X1534" s="9"/>
      <c r="AD1534" s="7"/>
    </row>
    <row r="1535" spans="21:30" x14ac:dyDescent="0.25">
      <c r="U1535" s="9"/>
      <c r="X1535" s="9"/>
      <c r="AD1535" s="7"/>
    </row>
    <row r="1536" spans="21:30" x14ac:dyDescent="0.25">
      <c r="U1536" s="9"/>
      <c r="X1536" s="9"/>
      <c r="AD1536" s="7"/>
    </row>
    <row r="1537" spans="21:30" x14ac:dyDescent="0.25">
      <c r="U1537" s="9"/>
      <c r="X1537" s="9"/>
      <c r="AD1537" s="7"/>
    </row>
    <row r="1538" spans="21:30" x14ac:dyDescent="0.25">
      <c r="U1538" s="9"/>
      <c r="X1538" s="9"/>
      <c r="AD1538" s="7"/>
    </row>
    <row r="1539" spans="21:30" x14ac:dyDescent="0.25">
      <c r="U1539" s="9"/>
      <c r="X1539" s="9"/>
      <c r="AD1539" s="7"/>
    </row>
    <row r="1540" spans="21:30" x14ac:dyDescent="0.25">
      <c r="U1540" s="9"/>
      <c r="X1540" s="9"/>
      <c r="AD1540" s="7"/>
    </row>
    <row r="1541" spans="21:30" x14ac:dyDescent="0.25">
      <c r="U1541" s="9"/>
      <c r="X1541" s="9"/>
      <c r="AD1541" s="7"/>
    </row>
    <row r="1542" spans="21:30" x14ac:dyDescent="0.25">
      <c r="U1542" s="9"/>
      <c r="X1542" s="9"/>
      <c r="AD1542" s="7"/>
    </row>
    <row r="1543" spans="21:30" x14ac:dyDescent="0.25">
      <c r="U1543" s="9"/>
      <c r="X1543" s="9"/>
      <c r="AD1543" s="7"/>
    </row>
    <row r="1544" spans="21:30" x14ac:dyDescent="0.25">
      <c r="U1544" s="9"/>
      <c r="X1544" s="9"/>
      <c r="AD1544" s="7"/>
    </row>
    <row r="1545" spans="21:30" x14ac:dyDescent="0.25">
      <c r="U1545" s="9"/>
      <c r="X1545" s="9"/>
      <c r="AD1545" s="7"/>
    </row>
    <row r="1546" spans="21:30" x14ac:dyDescent="0.25">
      <c r="U1546" s="9"/>
      <c r="X1546" s="9"/>
      <c r="AD1546" s="7"/>
    </row>
    <row r="1547" spans="21:30" x14ac:dyDescent="0.25">
      <c r="U1547" s="9"/>
      <c r="X1547" s="9"/>
      <c r="AD1547" s="7"/>
    </row>
    <row r="1548" spans="21:30" x14ac:dyDescent="0.25">
      <c r="U1548" s="9"/>
      <c r="X1548" s="9"/>
      <c r="AD1548" s="7"/>
    </row>
    <row r="1549" spans="21:30" x14ac:dyDescent="0.25">
      <c r="U1549" s="9"/>
      <c r="X1549" s="9"/>
      <c r="AD1549" s="7"/>
    </row>
    <row r="1550" spans="21:30" x14ac:dyDescent="0.25">
      <c r="U1550" s="9"/>
      <c r="X1550" s="9"/>
      <c r="AD1550" s="7"/>
    </row>
    <row r="1551" spans="21:30" x14ac:dyDescent="0.25">
      <c r="U1551" s="9"/>
      <c r="X1551" s="9"/>
      <c r="AD1551" s="7"/>
    </row>
    <row r="1552" spans="21:30" x14ac:dyDescent="0.25">
      <c r="U1552" s="9"/>
      <c r="X1552" s="9"/>
      <c r="AD1552" s="7"/>
    </row>
    <row r="1553" spans="21:30" x14ac:dyDescent="0.25">
      <c r="U1553" s="9"/>
      <c r="X1553" s="9"/>
      <c r="AD1553" s="7"/>
    </row>
    <row r="1554" spans="21:30" x14ac:dyDescent="0.25">
      <c r="U1554" s="9"/>
      <c r="X1554" s="9"/>
      <c r="AD1554" s="7"/>
    </row>
    <row r="1555" spans="21:30" x14ac:dyDescent="0.25">
      <c r="U1555" s="9"/>
      <c r="X1555" s="9"/>
      <c r="AD1555" s="7"/>
    </row>
    <row r="1556" spans="21:30" x14ac:dyDescent="0.25">
      <c r="U1556" s="9"/>
      <c r="X1556" s="9"/>
      <c r="AD1556" s="7"/>
    </row>
    <row r="1557" spans="21:30" x14ac:dyDescent="0.25">
      <c r="U1557" s="9"/>
      <c r="X1557" s="9"/>
      <c r="AD1557" s="7"/>
    </row>
    <row r="1558" spans="21:30" x14ac:dyDescent="0.25">
      <c r="U1558" s="9"/>
      <c r="X1558" s="9"/>
      <c r="AD1558" s="7"/>
    </row>
    <row r="1559" spans="21:30" x14ac:dyDescent="0.25">
      <c r="U1559" s="9"/>
      <c r="X1559" s="9"/>
      <c r="AD1559" s="7"/>
    </row>
    <row r="1560" spans="21:30" x14ac:dyDescent="0.25">
      <c r="U1560" s="9"/>
      <c r="X1560" s="9"/>
      <c r="AD1560" s="7"/>
    </row>
    <row r="1561" spans="21:30" x14ac:dyDescent="0.25">
      <c r="U1561" s="9"/>
      <c r="X1561" s="9"/>
      <c r="AD1561" s="7"/>
    </row>
    <row r="1562" spans="21:30" x14ac:dyDescent="0.25">
      <c r="U1562" s="9"/>
      <c r="X1562" s="9"/>
      <c r="AD1562" s="7"/>
    </row>
    <row r="1563" spans="21:30" x14ac:dyDescent="0.25">
      <c r="U1563" s="9"/>
      <c r="X1563" s="9"/>
      <c r="AD1563" s="7"/>
    </row>
    <row r="1564" spans="21:30" x14ac:dyDescent="0.25">
      <c r="U1564" s="9"/>
      <c r="X1564" s="9"/>
      <c r="AD1564" s="7"/>
    </row>
    <row r="1565" spans="21:30" x14ac:dyDescent="0.25">
      <c r="U1565" s="9"/>
      <c r="X1565" s="9"/>
      <c r="AD1565" s="7"/>
    </row>
    <row r="1566" spans="21:30" x14ac:dyDescent="0.25">
      <c r="U1566" s="9"/>
      <c r="X1566" s="9"/>
      <c r="AD1566" s="7"/>
    </row>
    <row r="1567" spans="21:30" x14ac:dyDescent="0.25">
      <c r="U1567" s="9"/>
      <c r="X1567" s="9"/>
      <c r="AD1567" s="7"/>
    </row>
    <row r="1568" spans="21:30" x14ac:dyDescent="0.25">
      <c r="U1568" s="9"/>
      <c r="X1568" s="9"/>
      <c r="AD1568" s="7"/>
    </row>
    <row r="1569" spans="21:30" x14ac:dyDescent="0.25">
      <c r="U1569" s="9"/>
      <c r="X1569" s="9"/>
      <c r="AD1569" s="7"/>
    </row>
    <row r="1570" spans="21:30" x14ac:dyDescent="0.25">
      <c r="U1570" s="9"/>
      <c r="X1570" s="9"/>
      <c r="AD1570" s="7"/>
    </row>
    <row r="1571" spans="21:30" x14ac:dyDescent="0.25">
      <c r="U1571" s="9"/>
      <c r="X1571" s="9"/>
      <c r="AD1571" s="7"/>
    </row>
    <row r="1572" spans="21:30" x14ac:dyDescent="0.25">
      <c r="U1572" s="9"/>
      <c r="X1572" s="9"/>
      <c r="AD1572" s="7"/>
    </row>
    <row r="1573" spans="21:30" x14ac:dyDescent="0.25">
      <c r="U1573" s="9"/>
      <c r="X1573" s="9"/>
      <c r="AD1573" s="7"/>
    </row>
    <row r="1574" spans="21:30" x14ac:dyDescent="0.25">
      <c r="U1574" s="9"/>
      <c r="X1574" s="9"/>
      <c r="AD1574" s="7"/>
    </row>
    <row r="1575" spans="21:30" x14ac:dyDescent="0.25">
      <c r="U1575" s="9"/>
      <c r="X1575" s="9"/>
      <c r="AD1575" s="7"/>
    </row>
    <row r="1576" spans="21:30" x14ac:dyDescent="0.25">
      <c r="U1576" s="9"/>
      <c r="X1576" s="9"/>
      <c r="AD1576" s="7"/>
    </row>
    <row r="1577" spans="21:30" x14ac:dyDescent="0.25">
      <c r="U1577" s="9"/>
      <c r="X1577" s="9"/>
      <c r="AD1577" s="7"/>
    </row>
    <row r="1578" spans="21:30" x14ac:dyDescent="0.25">
      <c r="U1578" s="9"/>
      <c r="X1578" s="9"/>
      <c r="AD1578" s="7"/>
    </row>
    <row r="1579" spans="21:30" x14ac:dyDescent="0.25">
      <c r="U1579" s="9"/>
      <c r="X1579" s="9"/>
      <c r="AD1579" s="7"/>
    </row>
    <row r="1580" spans="21:30" x14ac:dyDescent="0.25">
      <c r="U1580" s="9"/>
      <c r="X1580" s="9"/>
      <c r="AD1580" s="7"/>
    </row>
    <row r="1581" spans="21:30" x14ac:dyDescent="0.25">
      <c r="U1581" s="9"/>
      <c r="X1581" s="9"/>
      <c r="AD1581" s="7"/>
    </row>
    <row r="1582" spans="21:30" x14ac:dyDescent="0.25">
      <c r="U1582" s="9"/>
      <c r="X1582" s="9"/>
      <c r="AD1582" s="7"/>
    </row>
    <row r="1583" spans="21:30" x14ac:dyDescent="0.25">
      <c r="U1583" s="9"/>
      <c r="X1583" s="9"/>
      <c r="AD1583" s="7"/>
    </row>
    <row r="1584" spans="21:30" x14ac:dyDescent="0.25">
      <c r="U1584" s="9"/>
      <c r="X1584" s="9"/>
      <c r="AD1584" s="7"/>
    </row>
    <row r="1585" spans="21:30" x14ac:dyDescent="0.25">
      <c r="U1585" s="9"/>
      <c r="X1585" s="9"/>
      <c r="AD1585" s="7"/>
    </row>
    <row r="1586" spans="21:30" x14ac:dyDescent="0.25">
      <c r="U1586" s="9"/>
      <c r="X1586" s="9"/>
      <c r="AD1586" s="7"/>
    </row>
    <row r="1587" spans="21:30" x14ac:dyDescent="0.25">
      <c r="U1587" s="9"/>
      <c r="X1587" s="9"/>
      <c r="AD1587" s="7"/>
    </row>
    <row r="1588" spans="21:30" x14ac:dyDescent="0.25">
      <c r="U1588" s="9"/>
      <c r="X1588" s="9"/>
      <c r="AD1588" s="7"/>
    </row>
    <row r="1589" spans="21:30" x14ac:dyDescent="0.25">
      <c r="U1589" s="9"/>
      <c r="X1589" s="9"/>
      <c r="AD1589" s="7"/>
    </row>
    <row r="1590" spans="21:30" x14ac:dyDescent="0.25">
      <c r="U1590" s="9"/>
      <c r="X1590" s="9"/>
      <c r="AD1590" s="7"/>
    </row>
    <row r="1591" spans="21:30" x14ac:dyDescent="0.25">
      <c r="U1591" s="9"/>
      <c r="X1591" s="9"/>
      <c r="AD1591" s="7"/>
    </row>
    <row r="1592" spans="21:30" x14ac:dyDescent="0.25">
      <c r="U1592" s="9"/>
      <c r="X1592" s="9"/>
      <c r="AD1592" s="7"/>
    </row>
    <row r="1593" spans="21:30" x14ac:dyDescent="0.25">
      <c r="U1593" s="9"/>
      <c r="X1593" s="9"/>
      <c r="AD1593" s="7"/>
    </row>
    <row r="1594" spans="21:30" x14ac:dyDescent="0.25">
      <c r="U1594" s="9"/>
      <c r="X1594" s="9"/>
      <c r="AD1594" s="7"/>
    </row>
    <row r="1595" spans="21:30" x14ac:dyDescent="0.25">
      <c r="U1595" s="9"/>
      <c r="X1595" s="9"/>
      <c r="AD1595" s="7"/>
    </row>
    <row r="1596" spans="21:30" x14ac:dyDescent="0.25">
      <c r="U1596" s="9"/>
      <c r="X1596" s="9"/>
      <c r="AD1596" s="7"/>
    </row>
    <row r="1597" spans="21:30" x14ac:dyDescent="0.25">
      <c r="U1597" s="9"/>
      <c r="X1597" s="9"/>
      <c r="AD1597" s="7"/>
    </row>
    <row r="1598" spans="21:30" x14ac:dyDescent="0.25">
      <c r="U1598" s="9"/>
      <c r="X1598" s="9"/>
      <c r="AD1598" s="7"/>
    </row>
    <row r="1599" spans="21:30" x14ac:dyDescent="0.25">
      <c r="U1599" s="9"/>
      <c r="X1599" s="9"/>
      <c r="AD1599" s="7"/>
    </row>
    <row r="1600" spans="21:30" x14ac:dyDescent="0.25">
      <c r="U1600" s="9"/>
      <c r="X1600" s="9"/>
      <c r="AD1600" s="7"/>
    </row>
    <row r="1601" spans="21:30" x14ac:dyDescent="0.25">
      <c r="U1601" s="9"/>
      <c r="X1601" s="9"/>
      <c r="AD1601" s="7"/>
    </row>
    <row r="1602" spans="21:30" x14ac:dyDescent="0.25">
      <c r="U1602" s="9"/>
      <c r="X1602" s="9"/>
      <c r="AD1602" s="7"/>
    </row>
    <row r="1603" spans="21:30" x14ac:dyDescent="0.25">
      <c r="U1603" s="9"/>
      <c r="X1603" s="9"/>
      <c r="AD1603" s="7"/>
    </row>
    <row r="1604" spans="21:30" x14ac:dyDescent="0.25">
      <c r="U1604" s="9"/>
      <c r="X1604" s="9"/>
      <c r="AD1604" s="7"/>
    </row>
    <row r="1605" spans="21:30" x14ac:dyDescent="0.25">
      <c r="U1605" s="9"/>
      <c r="X1605" s="9"/>
      <c r="AD1605" s="7"/>
    </row>
    <row r="1606" spans="21:30" x14ac:dyDescent="0.25">
      <c r="U1606" s="9"/>
      <c r="X1606" s="9"/>
      <c r="AD1606" s="7"/>
    </row>
    <row r="1607" spans="21:30" x14ac:dyDescent="0.25">
      <c r="U1607" s="9"/>
      <c r="X1607" s="9"/>
      <c r="AD1607" s="7"/>
    </row>
    <row r="1608" spans="21:30" x14ac:dyDescent="0.25">
      <c r="U1608" s="9"/>
      <c r="X1608" s="9"/>
      <c r="AD1608" s="7"/>
    </row>
    <row r="1609" spans="21:30" x14ac:dyDescent="0.25">
      <c r="U1609" s="9"/>
      <c r="X1609" s="9"/>
      <c r="AD1609" s="7"/>
    </row>
    <row r="1610" spans="21:30" x14ac:dyDescent="0.25">
      <c r="U1610" s="9"/>
      <c r="X1610" s="9"/>
      <c r="AD1610" s="7"/>
    </row>
    <row r="1611" spans="21:30" x14ac:dyDescent="0.25">
      <c r="U1611" s="9"/>
      <c r="X1611" s="9"/>
      <c r="AD1611" s="7"/>
    </row>
    <row r="1612" spans="21:30" x14ac:dyDescent="0.25">
      <c r="U1612" s="9"/>
      <c r="X1612" s="9"/>
      <c r="AD1612" s="7"/>
    </row>
    <row r="1613" spans="21:30" x14ac:dyDescent="0.25">
      <c r="U1613" s="9"/>
      <c r="X1613" s="9"/>
      <c r="AD1613" s="7"/>
    </row>
    <row r="1614" spans="21:30" x14ac:dyDescent="0.25">
      <c r="U1614" s="9"/>
      <c r="X1614" s="9"/>
      <c r="AD1614" s="7"/>
    </row>
    <row r="1615" spans="21:30" x14ac:dyDescent="0.25">
      <c r="U1615" s="9"/>
      <c r="X1615" s="9"/>
      <c r="AD1615" s="7"/>
    </row>
    <row r="1616" spans="21:30" x14ac:dyDescent="0.25">
      <c r="U1616" s="9"/>
      <c r="X1616" s="9"/>
      <c r="AD1616" s="7"/>
    </row>
    <row r="1617" spans="21:30" x14ac:dyDescent="0.25">
      <c r="U1617" s="9"/>
      <c r="X1617" s="9"/>
      <c r="AD1617" s="7"/>
    </row>
    <row r="1618" spans="21:30" x14ac:dyDescent="0.25">
      <c r="U1618" s="9"/>
      <c r="X1618" s="9"/>
      <c r="AD1618" s="7"/>
    </row>
    <row r="1619" spans="21:30" x14ac:dyDescent="0.25">
      <c r="U1619" s="9"/>
      <c r="X1619" s="9"/>
      <c r="AD1619" s="7"/>
    </row>
    <row r="1620" spans="21:30" x14ac:dyDescent="0.25">
      <c r="U1620" s="9"/>
      <c r="X1620" s="9"/>
      <c r="AD1620" s="7"/>
    </row>
    <row r="1621" spans="21:30" x14ac:dyDescent="0.25">
      <c r="U1621" s="9"/>
      <c r="X1621" s="9"/>
      <c r="AD1621" s="7"/>
    </row>
    <row r="1622" spans="21:30" x14ac:dyDescent="0.25">
      <c r="U1622" s="9"/>
      <c r="X1622" s="9"/>
      <c r="AD1622" s="7"/>
    </row>
    <row r="1623" spans="21:30" x14ac:dyDescent="0.25">
      <c r="U1623" s="9"/>
      <c r="X1623" s="9"/>
      <c r="AD1623" s="7"/>
    </row>
    <row r="1624" spans="21:30" x14ac:dyDescent="0.25">
      <c r="U1624" s="9"/>
      <c r="X1624" s="9"/>
      <c r="AD1624" s="7"/>
    </row>
    <row r="1625" spans="21:30" x14ac:dyDescent="0.25">
      <c r="U1625" s="9"/>
      <c r="X1625" s="9"/>
      <c r="AD1625" s="7"/>
    </row>
    <row r="1626" spans="21:30" x14ac:dyDescent="0.25">
      <c r="U1626" s="9"/>
      <c r="X1626" s="9"/>
      <c r="AD1626" s="7"/>
    </row>
    <row r="1627" spans="21:30" x14ac:dyDescent="0.25">
      <c r="U1627" s="9"/>
      <c r="X1627" s="9"/>
      <c r="AD1627" s="7"/>
    </row>
    <row r="1628" spans="21:30" x14ac:dyDescent="0.25">
      <c r="U1628" s="9"/>
      <c r="X1628" s="9"/>
      <c r="AD1628" s="7"/>
    </row>
    <row r="1629" spans="21:30" x14ac:dyDescent="0.25">
      <c r="U1629" s="9"/>
      <c r="X1629" s="9"/>
      <c r="AD1629" s="7"/>
    </row>
    <row r="1630" spans="21:30" x14ac:dyDescent="0.25">
      <c r="U1630" s="9"/>
      <c r="X1630" s="9"/>
      <c r="AD1630" s="7"/>
    </row>
    <row r="1631" spans="21:30" x14ac:dyDescent="0.25">
      <c r="U1631" s="9"/>
      <c r="X1631" s="9"/>
      <c r="AD1631" s="7"/>
    </row>
    <row r="1632" spans="21:30" x14ac:dyDescent="0.25">
      <c r="U1632" s="9"/>
      <c r="X1632" s="9"/>
      <c r="AD1632" s="7"/>
    </row>
    <row r="1633" spans="21:30" x14ac:dyDescent="0.25">
      <c r="U1633" s="9"/>
      <c r="X1633" s="9"/>
      <c r="AD1633" s="7"/>
    </row>
    <row r="1634" spans="21:30" x14ac:dyDescent="0.25">
      <c r="U1634" s="9"/>
      <c r="X1634" s="9"/>
      <c r="AD1634" s="7"/>
    </row>
    <row r="1635" spans="21:30" x14ac:dyDescent="0.25">
      <c r="U1635" s="9"/>
      <c r="X1635" s="9"/>
      <c r="AD1635" s="7"/>
    </row>
    <row r="1636" spans="21:30" x14ac:dyDescent="0.25">
      <c r="U1636" s="9"/>
      <c r="X1636" s="9"/>
      <c r="AD1636" s="7"/>
    </row>
    <row r="1637" spans="21:30" x14ac:dyDescent="0.25">
      <c r="U1637" s="9"/>
      <c r="X1637" s="9"/>
      <c r="AD1637" s="7"/>
    </row>
    <row r="1638" spans="21:30" x14ac:dyDescent="0.25">
      <c r="U1638" s="9"/>
      <c r="X1638" s="9"/>
      <c r="AD1638" s="7"/>
    </row>
    <row r="1639" spans="21:30" x14ac:dyDescent="0.25">
      <c r="U1639" s="9"/>
      <c r="X1639" s="9"/>
      <c r="AD1639" s="7"/>
    </row>
    <row r="1640" spans="21:30" x14ac:dyDescent="0.25">
      <c r="U1640" s="9"/>
      <c r="X1640" s="9"/>
      <c r="AD1640" s="7"/>
    </row>
    <row r="1641" spans="21:30" x14ac:dyDescent="0.25">
      <c r="U1641" s="9"/>
      <c r="X1641" s="9"/>
      <c r="AD1641" s="7"/>
    </row>
    <row r="1642" spans="21:30" x14ac:dyDescent="0.25">
      <c r="U1642" s="9"/>
      <c r="X1642" s="9"/>
      <c r="AD1642" s="7"/>
    </row>
    <row r="1643" spans="21:30" x14ac:dyDescent="0.25">
      <c r="U1643" s="9"/>
      <c r="X1643" s="9"/>
      <c r="AD1643" s="7"/>
    </row>
    <row r="1644" spans="21:30" x14ac:dyDescent="0.25">
      <c r="U1644" s="9"/>
      <c r="X1644" s="9"/>
      <c r="AD1644" s="7"/>
    </row>
    <row r="1645" spans="21:30" x14ac:dyDescent="0.25">
      <c r="U1645" s="9"/>
      <c r="X1645" s="9"/>
    </row>
    <row r="1646" spans="21:30" x14ac:dyDescent="0.25">
      <c r="U1646" s="9"/>
      <c r="X1646" s="9"/>
    </row>
    <row r="1647" spans="21:30" x14ac:dyDescent="0.25">
      <c r="U1647" s="9"/>
      <c r="X1647" s="9"/>
    </row>
    <row r="1648" spans="21:30" x14ac:dyDescent="0.25">
      <c r="U1648" s="9"/>
      <c r="X1648" s="9"/>
    </row>
    <row r="1649" spans="21:24" x14ac:dyDescent="0.25">
      <c r="U1649" s="9"/>
      <c r="X1649" s="9"/>
    </row>
    <row r="1650" spans="21:24" x14ac:dyDescent="0.25">
      <c r="U1650" s="9"/>
      <c r="X1650" s="9"/>
    </row>
    <row r="1651" spans="21:24" x14ac:dyDescent="0.25">
      <c r="U1651" s="9"/>
      <c r="X1651" s="9"/>
    </row>
    <row r="1652" spans="21:24" x14ac:dyDescent="0.25">
      <c r="U1652" s="9"/>
      <c r="X1652" s="9"/>
    </row>
    <row r="1653" spans="21:24" x14ac:dyDescent="0.25">
      <c r="U1653" s="9"/>
      <c r="X1653" s="9"/>
    </row>
    <row r="1654" spans="21:24" x14ac:dyDescent="0.25">
      <c r="U1654" s="9"/>
      <c r="X1654" s="9"/>
    </row>
    <row r="1655" spans="21:24" x14ac:dyDescent="0.25">
      <c r="U1655" s="9"/>
      <c r="X1655" s="9"/>
    </row>
    <row r="1656" spans="21:24" x14ac:dyDescent="0.25">
      <c r="U1656" s="9"/>
      <c r="X1656" s="9"/>
    </row>
    <row r="1657" spans="21:24" x14ac:dyDescent="0.25">
      <c r="U1657" s="9"/>
      <c r="X1657" s="9"/>
    </row>
    <row r="1658" spans="21:24" x14ac:dyDescent="0.25">
      <c r="U1658" s="9"/>
      <c r="X1658" s="9"/>
    </row>
    <row r="1659" spans="21:24" x14ac:dyDescent="0.25">
      <c r="U1659" s="9"/>
      <c r="X1659" s="9"/>
    </row>
    <row r="1660" spans="21:24" x14ac:dyDescent="0.25">
      <c r="U1660" s="9"/>
      <c r="X1660" s="9"/>
    </row>
    <row r="1661" spans="21:24" x14ac:dyDescent="0.25">
      <c r="U1661" s="9"/>
      <c r="X1661" s="9"/>
    </row>
    <row r="1662" spans="21:24" x14ac:dyDescent="0.25">
      <c r="U1662" s="9"/>
      <c r="X1662" s="9"/>
    </row>
    <row r="1663" spans="21:24" x14ac:dyDescent="0.25">
      <c r="U1663" s="9"/>
      <c r="X1663" s="9"/>
    </row>
    <row r="1664" spans="21:24" x14ac:dyDescent="0.25">
      <c r="U1664" s="9"/>
      <c r="X1664" s="9"/>
    </row>
    <row r="1665" spans="21:24" x14ac:dyDescent="0.25">
      <c r="U1665" s="9"/>
      <c r="X1665" s="9"/>
    </row>
    <row r="1666" spans="21:24" x14ac:dyDescent="0.25">
      <c r="U1666" s="9"/>
      <c r="X1666" s="9"/>
    </row>
    <row r="1667" spans="21:24" x14ac:dyDescent="0.25">
      <c r="U1667" s="9"/>
      <c r="X1667" s="9"/>
    </row>
    <row r="1668" spans="21:24" x14ac:dyDescent="0.25">
      <c r="U1668" s="9"/>
      <c r="X1668" s="9"/>
    </row>
    <row r="1669" spans="21:24" x14ac:dyDescent="0.25">
      <c r="U1669" s="9"/>
      <c r="X1669" s="9"/>
    </row>
    <row r="1670" spans="21:24" x14ac:dyDescent="0.25">
      <c r="U1670" s="9"/>
      <c r="X1670" s="9"/>
    </row>
    <row r="1671" spans="21:24" x14ac:dyDescent="0.25">
      <c r="U1671" s="9"/>
      <c r="X1671" s="9"/>
    </row>
    <row r="1672" spans="21:24" x14ac:dyDescent="0.25">
      <c r="U1672" s="9"/>
      <c r="X1672" s="9"/>
    </row>
    <row r="1673" spans="21:24" x14ac:dyDescent="0.25">
      <c r="U1673" s="9"/>
      <c r="X1673" s="9"/>
    </row>
    <row r="1674" spans="21:24" x14ac:dyDescent="0.25">
      <c r="U1674" s="9"/>
      <c r="X1674" s="9"/>
    </row>
    <row r="1675" spans="21:24" x14ac:dyDescent="0.25">
      <c r="U1675" s="9"/>
      <c r="X1675" s="9"/>
    </row>
    <row r="1676" spans="21:24" x14ac:dyDescent="0.25">
      <c r="U1676" s="9"/>
      <c r="X1676" s="9"/>
    </row>
    <row r="1677" spans="21:24" x14ac:dyDescent="0.25">
      <c r="U1677" s="9"/>
      <c r="X1677" s="9"/>
    </row>
    <row r="1678" spans="21:24" x14ac:dyDescent="0.25">
      <c r="U1678" s="9"/>
      <c r="X1678" s="9"/>
    </row>
    <row r="1679" spans="21:24" x14ac:dyDescent="0.25">
      <c r="U1679" s="9"/>
      <c r="X1679" s="9"/>
    </row>
    <row r="1680" spans="21:24" x14ac:dyDescent="0.25">
      <c r="U1680" s="9"/>
      <c r="X1680" s="9"/>
    </row>
    <row r="1681" spans="21:24" x14ac:dyDescent="0.25">
      <c r="U1681" s="9"/>
      <c r="X1681" s="9"/>
    </row>
    <row r="1682" spans="21:24" x14ac:dyDescent="0.25">
      <c r="U1682" s="9"/>
      <c r="X1682" s="9"/>
    </row>
    <row r="1683" spans="21:24" x14ac:dyDescent="0.25">
      <c r="U1683" s="9"/>
      <c r="X1683" s="9"/>
    </row>
    <row r="1684" spans="21:24" x14ac:dyDescent="0.25">
      <c r="U1684" s="9"/>
      <c r="X1684" s="9"/>
    </row>
    <row r="1685" spans="21:24" x14ac:dyDescent="0.25">
      <c r="U1685" s="9"/>
      <c r="X1685" s="9"/>
    </row>
    <row r="1686" spans="21:24" x14ac:dyDescent="0.25">
      <c r="U1686" s="9"/>
      <c r="X1686" s="9"/>
    </row>
    <row r="1687" spans="21:24" x14ac:dyDescent="0.25">
      <c r="U1687" s="9"/>
      <c r="X1687" s="9"/>
    </row>
    <row r="1688" spans="21:24" x14ac:dyDescent="0.25">
      <c r="U1688" s="9"/>
      <c r="X1688" s="9"/>
    </row>
    <row r="1689" spans="21:24" x14ac:dyDescent="0.25">
      <c r="U1689" s="9"/>
      <c r="X1689" s="9"/>
    </row>
    <row r="1690" spans="21:24" x14ac:dyDescent="0.25">
      <c r="U1690" s="9"/>
      <c r="X1690" s="9"/>
    </row>
    <row r="1691" spans="21:24" x14ac:dyDescent="0.25">
      <c r="U1691" s="9"/>
      <c r="X1691" s="9"/>
    </row>
    <row r="1692" spans="21:24" x14ac:dyDescent="0.25">
      <c r="U1692" s="9"/>
      <c r="X1692" s="9"/>
    </row>
    <row r="1693" spans="21:24" x14ac:dyDescent="0.25">
      <c r="U1693" s="9"/>
      <c r="X1693" s="9"/>
    </row>
    <row r="1694" spans="21:24" x14ac:dyDescent="0.25">
      <c r="U1694" s="9"/>
      <c r="X1694" s="9"/>
    </row>
    <row r="1695" spans="21:24" x14ac:dyDescent="0.25">
      <c r="U1695" s="9"/>
      <c r="X1695" s="9"/>
    </row>
    <row r="1696" spans="21:24" x14ac:dyDescent="0.25">
      <c r="U1696" s="9"/>
      <c r="X1696" s="9"/>
    </row>
    <row r="1697" spans="21:24" x14ac:dyDescent="0.25">
      <c r="U1697" s="9"/>
      <c r="X1697" s="9"/>
    </row>
    <row r="1698" spans="21:24" x14ac:dyDescent="0.25">
      <c r="U1698" s="9"/>
      <c r="X1698" s="9"/>
    </row>
    <row r="1699" spans="21:24" x14ac:dyDescent="0.25">
      <c r="U1699" s="9"/>
      <c r="X1699" s="9"/>
    </row>
    <row r="1700" spans="21:24" x14ac:dyDescent="0.25">
      <c r="U1700" s="9"/>
      <c r="X1700" s="9"/>
    </row>
    <row r="1701" spans="21:24" x14ac:dyDescent="0.25">
      <c r="U1701" s="9"/>
      <c r="X1701" s="9"/>
    </row>
    <row r="1702" spans="21:24" x14ac:dyDescent="0.25">
      <c r="U1702" s="9"/>
      <c r="X1702" s="9"/>
    </row>
    <row r="1703" spans="21:24" x14ac:dyDescent="0.25">
      <c r="U1703" s="9"/>
      <c r="X1703" s="9"/>
    </row>
    <row r="1704" spans="21:24" x14ac:dyDescent="0.25">
      <c r="U1704" s="9"/>
      <c r="X1704" s="9"/>
    </row>
    <row r="1705" spans="21:24" x14ac:dyDescent="0.25">
      <c r="U1705" s="9"/>
      <c r="X1705" s="9"/>
    </row>
    <row r="1706" spans="21:24" x14ac:dyDescent="0.25">
      <c r="U1706" s="9"/>
      <c r="X1706" s="9"/>
    </row>
    <row r="1707" spans="21:24" x14ac:dyDescent="0.25">
      <c r="U1707" s="9"/>
      <c r="X1707" s="9"/>
    </row>
    <row r="1708" spans="21:24" x14ac:dyDescent="0.25">
      <c r="U1708" s="9"/>
      <c r="X1708" s="9"/>
    </row>
    <row r="1709" spans="21:24" x14ac:dyDescent="0.25">
      <c r="U1709" s="9"/>
      <c r="X1709" s="9"/>
    </row>
    <row r="1710" spans="21:24" x14ac:dyDescent="0.25">
      <c r="U1710" s="9"/>
      <c r="X1710" s="9"/>
    </row>
    <row r="1711" spans="21:24" x14ac:dyDescent="0.25">
      <c r="U1711" s="9"/>
      <c r="X1711" s="9"/>
    </row>
    <row r="1712" spans="21:24" x14ac:dyDescent="0.25">
      <c r="U1712" s="9"/>
      <c r="X1712" s="9"/>
    </row>
    <row r="1713" spans="21:24" x14ac:dyDescent="0.25">
      <c r="U1713" s="9"/>
      <c r="X1713" s="9"/>
    </row>
    <row r="1714" spans="21:24" x14ac:dyDescent="0.25">
      <c r="U1714" s="9"/>
      <c r="X1714" s="9"/>
    </row>
    <row r="1715" spans="21:24" x14ac:dyDescent="0.25">
      <c r="U1715" s="9"/>
      <c r="X1715" s="9"/>
    </row>
    <row r="1716" spans="21:24" x14ac:dyDescent="0.25">
      <c r="U1716" s="9"/>
      <c r="X1716" s="9"/>
    </row>
    <row r="1717" spans="21:24" x14ac:dyDescent="0.25">
      <c r="U1717" s="9"/>
      <c r="X1717" s="9"/>
    </row>
    <row r="1718" spans="21:24" x14ac:dyDescent="0.25">
      <c r="U1718" s="9"/>
      <c r="X1718" s="9"/>
    </row>
    <row r="1719" spans="21:24" x14ac:dyDescent="0.25">
      <c r="U1719" s="9"/>
      <c r="X1719" s="9"/>
    </row>
    <row r="1720" spans="21:24" x14ac:dyDescent="0.25">
      <c r="U1720" s="9"/>
      <c r="X1720" s="9"/>
    </row>
    <row r="1721" spans="21:24" x14ac:dyDescent="0.25">
      <c r="U1721" s="9"/>
      <c r="X1721" s="9"/>
    </row>
    <row r="1722" spans="21:24" x14ac:dyDescent="0.25">
      <c r="U1722" s="9"/>
      <c r="X1722" s="9"/>
    </row>
    <row r="1723" spans="21:24" x14ac:dyDescent="0.25">
      <c r="U1723" s="9"/>
      <c r="X1723" s="9"/>
    </row>
    <row r="1724" spans="21:24" x14ac:dyDescent="0.25">
      <c r="U1724" s="9"/>
      <c r="X1724" s="9"/>
    </row>
    <row r="1725" spans="21:24" x14ac:dyDescent="0.25">
      <c r="U1725" s="9"/>
      <c r="X1725" s="9"/>
    </row>
    <row r="1726" spans="21:24" x14ac:dyDescent="0.25">
      <c r="U1726" s="9"/>
      <c r="X1726" s="9"/>
    </row>
    <row r="1727" spans="21:24" x14ac:dyDescent="0.25">
      <c r="U1727" s="9"/>
      <c r="X1727" s="9"/>
    </row>
    <row r="1728" spans="21:24" x14ac:dyDescent="0.25">
      <c r="U1728" s="9"/>
      <c r="X1728" s="9"/>
    </row>
    <row r="1729" spans="21:24" x14ac:dyDescent="0.25">
      <c r="U1729" s="9"/>
      <c r="X1729" s="9"/>
    </row>
    <row r="1730" spans="21:24" x14ac:dyDescent="0.25">
      <c r="U1730" s="9"/>
      <c r="X1730" s="9"/>
    </row>
    <row r="1731" spans="21:24" x14ac:dyDescent="0.25">
      <c r="U1731" s="9"/>
      <c r="X1731" s="9"/>
    </row>
    <row r="1732" spans="21:24" x14ac:dyDescent="0.25">
      <c r="U1732" s="9"/>
      <c r="X1732" s="9"/>
    </row>
    <row r="1733" spans="21:24" x14ac:dyDescent="0.25">
      <c r="U1733" s="9"/>
      <c r="X1733" s="9"/>
    </row>
    <row r="1734" spans="21:24" x14ac:dyDescent="0.25">
      <c r="U1734" s="9"/>
      <c r="X1734" s="9"/>
    </row>
    <row r="1735" spans="21:24" x14ac:dyDescent="0.25">
      <c r="U1735" s="9"/>
      <c r="X1735" s="9"/>
    </row>
    <row r="1736" spans="21:24" x14ac:dyDescent="0.25">
      <c r="U1736" s="9"/>
      <c r="X1736" s="9"/>
    </row>
    <row r="1737" spans="21:24" x14ac:dyDescent="0.25">
      <c r="U1737" s="9"/>
      <c r="X1737" s="9"/>
    </row>
    <row r="1738" spans="21:24" x14ac:dyDescent="0.25">
      <c r="U1738" s="9"/>
      <c r="X1738" s="9"/>
    </row>
    <row r="1739" spans="21:24" x14ac:dyDescent="0.25">
      <c r="U1739" s="9"/>
      <c r="X1739" s="9"/>
    </row>
    <row r="1740" spans="21:24" x14ac:dyDescent="0.25">
      <c r="U1740" s="9"/>
      <c r="X1740" s="9"/>
    </row>
    <row r="1741" spans="21:24" x14ac:dyDescent="0.25">
      <c r="U1741" s="9"/>
      <c r="X1741" s="9"/>
    </row>
    <row r="1742" spans="21:24" x14ac:dyDescent="0.25">
      <c r="U1742" s="9"/>
      <c r="X1742" s="9"/>
    </row>
    <row r="1743" spans="21:24" x14ac:dyDescent="0.25">
      <c r="U1743" s="9"/>
      <c r="X1743" s="9"/>
    </row>
    <row r="1744" spans="21:24" x14ac:dyDescent="0.25">
      <c r="U1744" s="9"/>
      <c r="X1744" s="9"/>
    </row>
    <row r="1745" spans="21:24" x14ac:dyDescent="0.25">
      <c r="U1745" s="9"/>
      <c r="X1745" s="9"/>
    </row>
    <row r="1746" spans="21:24" x14ac:dyDescent="0.25">
      <c r="U1746" s="9"/>
      <c r="X1746" s="9"/>
    </row>
    <row r="1747" spans="21:24" x14ac:dyDescent="0.25">
      <c r="U1747" s="9"/>
      <c r="X1747" s="9"/>
    </row>
    <row r="1748" spans="21:24" x14ac:dyDescent="0.25">
      <c r="U1748" s="9"/>
      <c r="X1748" s="9"/>
    </row>
    <row r="1749" spans="21:24" x14ac:dyDescent="0.25">
      <c r="U1749" s="9"/>
      <c r="X1749" s="9"/>
    </row>
    <row r="1750" spans="21:24" x14ac:dyDescent="0.25">
      <c r="U1750" s="9"/>
      <c r="X1750" s="9"/>
    </row>
    <row r="1751" spans="21:24" x14ac:dyDescent="0.25">
      <c r="U1751" s="9"/>
      <c r="X1751" s="9"/>
    </row>
    <row r="1752" spans="21:24" x14ac:dyDescent="0.25">
      <c r="U1752" s="9"/>
      <c r="X1752" s="9"/>
    </row>
    <row r="1753" spans="21:24" x14ac:dyDescent="0.25">
      <c r="U1753" s="9"/>
      <c r="X1753" s="9"/>
    </row>
    <row r="1754" spans="21:24" x14ac:dyDescent="0.25">
      <c r="U1754" s="9"/>
      <c r="X1754" s="9"/>
    </row>
    <row r="1755" spans="21:24" x14ac:dyDescent="0.25">
      <c r="U1755" s="9"/>
      <c r="X1755" s="9"/>
    </row>
    <row r="1756" spans="21:24" x14ac:dyDescent="0.25">
      <c r="U1756" s="9"/>
      <c r="X1756" s="9"/>
    </row>
    <row r="1757" spans="21:24" x14ac:dyDescent="0.25">
      <c r="U1757" s="9"/>
      <c r="X1757" s="9"/>
    </row>
    <row r="1758" spans="21:24" x14ac:dyDescent="0.25">
      <c r="U1758" s="9"/>
      <c r="X1758" s="9"/>
    </row>
    <row r="1759" spans="21:24" x14ac:dyDescent="0.25">
      <c r="U1759" s="9"/>
      <c r="X1759" s="9"/>
    </row>
    <row r="1760" spans="21:24" x14ac:dyDescent="0.25">
      <c r="U1760" s="9"/>
      <c r="X1760" s="9"/>
    </row>
    <row r="1761" spans="21:24" x14ac:dyDescent="0.25">
      <c r="U1761" s="9"/>
      <c r="X1761" s="9"/>
    </row>
    <row r="1762" spans="21:24" x14ac:dyDescent="0.25">
      <c r="U1762" s="9"/>
      <c r="X1762" s="9"/>
    </row>
    <row r="1763" spans="21:24" x14ac:dyDescent="0.25">
      <c r="U1763" s="9"/>
      <c r="X1763" s="9"/>
    </row>
    <row r="1764" spans="21:24" x14ac:dyDescent="0.25">
      <c r="U1764" s="9"/>
      <c r="X1764" s="9"/>
    </row>
    <row r="1765" spans="21:24" x14ac:dyDescent="0.25">
      <c r="U1765" s="9"/>
      <c r="X1765" s="9"/>
    </row>
    <row r="1766" spans="21:24" x14ac:dyDescent="0.25">
      <c r="U1766" s="9"/>
      <c r="X1766" s="9"/>
    </row>
    <row r="1767" spans="21:24" x14ac:dyDescent="0.25">
      <c r="U1767" s="9"/>
      <c r="X1767" s="9"/>
    </row>
    <row r="1768" spans="21:24" x14ac:dyDescent="0.25">
      <c r="U1768" s="9"/>
      <c r="X1768" s="9"/>
    </row>
    <row r="1769" spans="21:24" x14ac:dyDescent="0.25">
      <c r="U1769" s="9"/>
      <c r="X1769" s="9"/>
    </row>
    <row r="1770" spans="21:24" x14ac:dyDescent="0.25">
      <c r="U1770" s="9"/>
      <c r="X1770" s="9"/>
    </row>
    <row r="1771" spans="21:24" x14ac:dyDescent="0.25">
      <c r="U1771" s="9"/>
      <c r="X1771" s="9"/>
    </row>
    <row r="1772" spans="21:24" x14ac:dyDescent="0.25">
      <c r="U1772" s="9"/>
      <c r="X1772" s="9"/>
    </row>
    <row r="1773" spans="21:24" x14ac:dyDescent="0.25">
      <c r="U1773" s="9"/>
      <c r="X1773" s="9"/>
    </row>
    <row r="1774" spans="21:24" x14ac:dyDescent="0.25">
      <c r="U1774" s="9"/>
      <c r="X1774" s="9"/>
    </row>
    <row r="1775" spans="21:24" x14ac:dyDescent="0.25">
      <c r="U1775" s="9"/>
      <c r="X1775" s="9"/>
    </row>
    <row r="1776" spans="21:24" x14ac:dyDescent="0.25">
      <c r="U1776" s="9"/>
      <c r="X1776" s="9"/>
    </row>
    <row r="1777" spans="21:24" x14ac:dyDescent="0.25">
      <c r="U1777" s="9"/>
      <c r="X1777" s="9"/>
    </row>
    <row r="1778" spans="21:24" x14ac:dyDescent="0.25">
      <c r="U1778" s="9"/>
      <c r="X1778" s="9"/>
    </row>
    <row r="1779" spans="21:24" x14ac:dyDescent="0.25">
      <c r="U1779" s="9"/>
      <c r="X1779" s="9"/>
    </row>
    <row r="1780" spans="21:24" x14ac:dyDescent="0.25">
      <c r="U1780" s="9"/>
      <c r="X1780" s="9"/>
    </row>
    <row r="1781" spans="21:24" x14ac:dyDescent="0.25">
      <c r="U1781" s="9"/>
      <c r="X1781" s="9"/>
    </row>
    <row r="1782" spans="21:24" x14ac:dyDescent="0.25">
      <c r="U1782" s="9"/>
      <c r="X1782" s="9"/>
    </row>
    <row r="1783" spans="21:24" x14ac:dyDescent="0.25">
      <c r="U1783" s="9"/>
      <c r="X1783" s="9"/>
    </row>
    <row r="1784" spans="21:24" x14ac:dyDescent="0.25">
      <c r="U1784" s="9"/>
      <c r="X1784" s="9"/>
    </row>
    <row r="1785" spans="21:24" x14ac:dyDescent="0.25">
      <c r="U1785" s="9"/>
      <c r="X1785" s="9"/>
    </row>
    <row r="1786" spans="21:24" x14ac:dyDescent="0.25">
      <c r="U1786" s="9"/>
      <c r="X1786" s="9"/>
    </row>
    <row r="1787" spans="21:24" x14ac:dyDescent="0.25">
      <c r="U1787" s="9"/>
      <c r="X1787" s="9"/>
    </row>
    <row r="1788" spans="21:24" x14ac:dyDescent="0.25">
      <c r="U1788" s="9"/>
      <c r="X1788" s="9"/>
    </row>
    <row r="1789" spans="21:24" x14ac:dyDescent="0.25">
      <c r="U1789" s="9"/>
      <c r="X1789" s="9"/>
    </row>
    <row r="1790" spans="21:24" x14ac:dyDescent="0.25">
      <c r="U1790" s="9"/>
      <c r="X1790" s="9"/>
    </row>
    <row r="1791" spans="21:24" x14ac:dyDescent="0.25">
      <c r="U1791" s="9"/>
      <c r="X1791" s="9"/>
    </row>
    <row r="1792" spans="21:24" x14ac:dyDescent="0.25">
      <c r="U1792" s="9"/>
      <c r="X1792" s="9"/>
    </row>
    <row r="1793" spans="21:24" x14ac:dyDescent="0.25">
      <c r="U1793" s="9"/>
      <c r="X1793" s="9"/>
    </row>
    <row r="1794" spans="21:24" x14ac:dyDescent="0.25">
      <c r="U1794" s="9"/>
      <c r="X1794" s="9"/>
    </row>
    <row r="1795" spans="21:24" x14ac:dyDescent="0.25">
      <c r="U1795" s="9"/>
      <c r="X1795" s="9"/>
    </row>
    <row r="1796" spans="21:24" x14ac:dyDescent="0.25">
      <c r="U1796" s="9"/>
      <c r="X1796" s="9"/>
    </row>
    <row r="1797" spans="21:24" x14ac:dyDescent="0.25">
      <c r="U1797" s="9"/>
      <c r="X1797" s="9"/>
    </row>
    <row r="1798" spans="21:24" x14ac:dyDescent="0.25">
      <c r="U1798" s="9"/>
      <c r="X1798" s="9"/>
    </row>
    <row r="1799" spans="21:24" x14ac:dyDescent="0.25">
      <c r="U1799" s="9"/>
      <c r="X1799" s="9"/>
    </row>
    <row r="1800" spans="21:24" x14ac:dyDescent="0.25">
      <c r="U1800" s="9"/>
      <c r="X1800" s="9"/>
    </row>
    <row r="1801" spans="21:24" x14ac:dyDescent="0.25">
      <c r="U1801" s="9"/>
      <c r="X1801" s="9"/>
    </row>
    <row r="1802" spans="21:24" x14ac:dyDescent="0.25">
      <c r="U1802" s="9"/>
      <c r="X1802" s="9"/>
    </row>
    <row r="1803" spans="21:24" x14ac:dyDescent="0.25">
      <c r="U1803" s="9"/>
      <c r="X1803" s="9"/>
    </row>
    <row r="1804" spans="21:24" x14ac:dyDescent="0.25">
      <c r="U1804" s="9"/>
      <c r="X1804" s="9"/>
    </row>
    <row r="1805" spans="21:24" x14ac:dyDescent="0.25">
      <c r="U1805" s="9"/>
      <c r="X1805" s="9"/>
    </row>
    <row r="1806" spans="21:24" x14ac:dyDescent="0.25">
      <c r="U1806" s="9"/>
      <c r="X1806" s="9"/>
    </row>
    <row r="1807" spans="21:24" x14ac:dyDescent="0.25">
      <c r="U1807" s="9"/>
      <c r="X1807" s="9"/>
    </row>
    <row r="1808" spans="21:24" x14ac:dyDescent="0.25">
      <c r="U1808" s="9"/>
      <c r="X1808" s="9"/>
    </row>
    <row r="1809" spans="21:24" x14ac:dyDescent="0.25">
      <c r="U1809" s="9"/>
      <c r="X1809" s="9"/>
    </row>
    <row r="1810" spans="21:24" x14ac:dyDescent="0.25">
      <c r="U1810" s="9"/>
      <c r="X1810" s="9"/>
    </row>
    <row r="1811" spans="21:24" x14ac:dyDescent="0.25">
      <c r="U1811" s="9"/>
      <c r="X1811" s="9"/>
    </row>
    <row r="1812" spans="21:24" x14ac:dyDescent="0.25">
      <c r="U1812" s="9"/>
      <c r="X1812" s="9"/>
    </row>
    <row r="1813" spans="21:24" x14ac:dyDescent="0.25">
      <c r="U1813" s="9"/>
      <c r="X1813" s="9"/>
    </row>
    <row r="1814" spans="21:24" x14ac:dyDescent="0.25">
      <c r="U1814" s="9"/>
      <c r="X1814" s="9"/>
    </row>
    <row r="1815" spans="21:24" x14ac:dyDescent="0.25">
      <c r="U1815" s="9"/>
      <c r="X1815" s="9"/>
    </row>
    <row r="1816" spans="21:24" x14ac:dyDescent="0.25">
      <c r="U1816" s="9"/>
      <c r="X1816" s="9"/>
    </row>
    <row r="1817" spans="21:24" x14ac:dyDescent="0.25">
      <c r="U1817" s="9"/>
      <c r="X1817" s="9"/>
    </row>
    <row r="1818" spans="21:24" x14ac:dyDescent="0.25">
      <c r="U1818" s="9"/>
      <c r="X1818" s="9"/>
    </row>
    <row r="1819" spans="21:24" x14ac:dyDescent="0.25">
      <c r="U1819" s="9"/>
      <c r="X1819" s="9"/>
    </row>
    <row r="1820" spans="21:24" x14ac:dyDescent="0.25">
      <c r="U1820" s="9"/>
      <c r="X1820" s="9"/>
    </row>
    <row r="1821" spans="21:24" x14ac:dyDescent="0.25">
      <c r="U1821" s="9"/>
      <c r="X1821" s="9"/>
    </row>
    <row r="1822" spans="21:24" x14ac:dyDescent="0.25">
      <c r="U1822" s="9"/>
      <c r="X1822" s="9"/>
    </row>
    <row r="1823" spans="21:24" x14ac:dyDescent="0.25">
      <c r="U1823" s="9"/>
      <c r="X1823" s="9"/>
    </row>
    <row r="1824" spans="21:24" x14ac:dyDescent="0.25">
      <c r="U1824" s="9"/>
      <c r="X1824" s="9"/>
    </row>
    <row r="1825" spans="21:24" x14ac:dyDescent="0.25">
      <c r="U1825" s="9"/>
      <c r="X1825" s="9"/>
    </row>
    <row r="1826" spans="21:24" x14ac:dyDescent="0.25">
      <c r="U1826" s="9"/>
      <c r="X1826" s="9"/>
    </row>
    <row r="1827" spans="21:24" x14ac:dyDescent="0.25">
      <c r="U1827" s="9"/>
      <c r="X1827" s="9"/>
    </row>
    <row r="1828" spans="21:24" x14ac:dyDescent="0.25">
      <c r="U1828" s="9"/>
      <c r="X1828" s="9"/>
    </row>
    <row r="1829" spans="21:24" x14ac:dyDescent="0.25">
      <c r="U1829" s="9"/>
      <c r="X1829" s="9"/>
    </row>
    <row r="1830" spans="21:24" x14ac:dyDescent="0.25">
      <c r="U1830" s="9"/>
      <c r="X1830" s="9"/>
    </row>
    <row r="1831" spans="21:24" x14ac:dyDescent="0.25">
      <c r="U1831" s="9"/>
      <c r="X1831" s="9"/>
    </row>
    <row r="1832" spans="21:24" x14ac:dyDescent="0.25">
      <c r="U1832" s="9"/>
      <c r="X1832" s="9"/>
    </row>
    <row r="1833" spans="21:24" x14ac:dyDescent="0.25">
      <c r="U1833" s="9"/>
      <c r="X1833" s="9"/>
    </row>
    <row r="1834" spans="21:24" x14ac:dyDescent="0.25">
      <c r="U1834" s="9"/>
      <c r="X1834" s="9"/>
    </row>
    <row r="1835" spans="21:24" x14ac:dyDescent="0.25">
      <c r="U1835" s="9"/>
      <c r="X1835" s="9"/>
    </row>
    <row r="1836" spans="21:24" x14ac:dyDescent="0.25">
      <c r="U1836" s="9"/>
      <c r="X1836" s="9"/>
    </row>
    <row r="1837" spans="21:24" x14ac:dyDescent="0.25">
      <c r="U1837" s="9"/>
      <c r="X1837" s="9"/>
    </row>
    <row r="1838" spans="21:24" x14ac:dyDescent="0.25">
      <c r="U1838" s="9"/>
      <c r="X1838" s="9"/>
    </row>
    <row r="1839" spans="21:24" x14ac:dyDescent="0.25">
      <c r="U1839" s="9"/>
      <c r="X1839" s="9"/>
    </row>
    <row r="1840" spans="21:24" x14ac:dyDescent="0.25">
      <c r="U1840" s="9"/>
      <c r="X1840" s="9"/>
    </row>
    <row r="1841" spans="21:24" x14ac:dyDescent="0.25">
      <c r="U1841" s="9"/>
      <c r="X1841" s="9"/>
    </row>
    <row r="1842" spans="21:24" x14ac:dyDescent="0.25">
      <c r="U1842" s="9"/>
      <c r="X1842" s="9"/>
    </row>
    <row r="1843" spans="21:24" x14ac:dyDescent="0.25">
      <c r="U1843" s="9"/>
      <c r="X1843" s="9"/>
    </row>
    <row r="1844" spans="21:24" x14ac:dyDescent="0.25">
      <c r="U1844" s="9"/>
      <c r="X1844" s="9"/>
    </row>
    <row r="1845" spans="21:24" x14ac:dyDescent="0.25">
      <c r="U1845" s="9"/>
      <c r="X1845" s="9"/>
    </row>
    <row r="1846" spans="21:24" x14ac:dyDescent="0.25">
      <c r="U1846" s="9"/>
      <c r="X1846" s="9"/>
    </row>
    <row r="1847" spans="21:24" x14ac:dyDescent="0.25">
      <c r="U1847" s="9"/>
      <c r="X1847" s="9"/>
    </row>
    <row r="1848" spans="21:24" x14ac:dyDescent="0.25">
      <c r="U1848" s="9"/>
      <c r="X1848" s="9"/>
    </row>
    <row r="1849" spans="21:24" x14ac:dyDescent="0.25">
      <c r="U1849" s="9"/>
      <c r="X1849" s="9"/>
    </row>
    <row r="1850" spans="21:24" x14ac:dyDescent="0.25">
      <c r="U1850" s="9"/>
      <c r="X1850" s="9"/>
    </row>
    <row r="1851" spans="21:24" x14ac:dyDescent="0.25">
      <c r="U1851" s="9"/>
      <c r="X1851" s="9"/>
    </row>
    <row r="1852" spans="21:24" x14ac:dyDescent="0.25">
      <c r="U1852" s="9"/>
      <c r="X1852" s="9"/>
    </row>
    <row r="1853" spans="21:24" x14ac:dyDescent="0.25">
      <c r="U1853" s="9"/>
      <c r="X1853" s="9"/>
    </row>
    <row r="1854" spans="21:24" x14ac:dyDescent="0.25">
      <c r="U1854" s="9"/>
      <c r="X1854" s="9"/>
    </row>
    <row r="1855" spans="21:24" x14ac:dyDescent="0.25">
      <c r="U1855" s="9"/>
      <c r="X1855" s="9"/>
    </row>
    <row r="1856" spans="21:24" x14ac:dyDescent="0.25">
      <c r="U1856" s="9"/>
      <c r="X1856" s="9"/>
    </row>
    <row r="1857" spans="21:24" x14ac:dyDescent="0.25">
      <c r="U1857" s="9"/>
      <c r="X1857" s="9"/>
    </row>
    <row r="1858" spans="21:24" x14ac:dyDescent="0.25">
      <c r="U1858" s="9"/>
      <c r="X1858" s="9"/>
    </row>
    <row r="1859" spans="21:24" x14ac:dyDescent="0.25">
      <c r="U1859" s="9"/>
      <c r="X1859" s="9"/>
    </row>
    <row r="1860" spans="21:24" x14ac:dyDescent="0.25">
      <c r="U1860" s="9"/>
      <c r="X1860" s="9"/>
    </row>
    <row r="1861" spans="21:24" x14ac:dyDescent="0.25">
      <c r="U1861" s="9"/>
      <c r="X1861" s="9"/>
    </row>
    <row r="1862" spans="21:24" x14ac:dyDescent="0.25">
      <c r="U1862" s="9"/>
      <c r="X1862" s="9"/>
    </row>
    <row r="1863" spans="21:24" x14ac:dyDescent="0.25">
      <c r="U1863" s="9"/>
      <c r="X1863" s="9"/>
    </row>
    <row r="1864" spans="21:24" x14ac:dyDescent="0.25">
      <c r="U1864" s="9"/>
      <c r="X1864" s="9"/>
    </row>
    <row r="1865" spans="21:24" x14ac:dyDescent="0.25">
      <c r="U1865" s="9"/>
      <c r="X1865" s="9"/>
    </row>
    <row r="1866" spans="21:24" x14ac:dyDescent="0.25">
      <c r="U1866" s="9"/>
      <c r="X1866" s="9"/>
    </row>
    <row r="1867" spans="21:24" x14ac:dyDescent="0.25">
      <c r="U1867" s="9"/>
      <c r="X1867" s="9"/>
    </row>
    <row r="1868" spans="21:24" x14ac:dyDescent="0.25">
      <c r="U1868" s="9"/>
      <c r="X1868" s="9"/>
    </row>
    <row r="1869" spans="21:24" x14ac:dyDescent="0.25">
      <c r="U1869" s="9"/>
      <c r="X1869" s="9"/>
    </row>
    <row r="1870" spans="21:24" x14ac:dyDescent="0.25">
      <c r="U1870" s="9"/>
      <c r="X1870" s="9"/>
    </row>
    <row r="1871" spans="21:24" x14ac:dyDescent="0.25">
      <c r="U1871" s="9"/>
      <c r="X1871" s="9"/>
    </row>
    <row r="1872" spans="21:24" x14ac:dyDescent="0.25">
      <c r="U1872" s="9"/>
      <c r="X1872" s="9"/>
    </row>
    <row r="1873" spans="21:24" x14ac:dyDescent="0.25">
      <c r="U1873" s="9"/>
      <c r="X1873" s="9"/>
    </row>
    <row r="1874" spans="21:24" x14ac:dyDescent="0.25">
      <c r="U1874" s="9"/>
      <c r="X1874" s="9"/>
    </row>
    <row r="1875" spans="21:24" x14ac:dyDescent="0.25">
      <c r="U1875" s="9"/>
      <c r="X1875" s="9"/>
    </row>
    <row r="1876" spans="21:24" x14ac:dyDescent="0.25">
      <c r="U1876" s="9"/>
      <c r="X1876" s="9"/>
    </row>
    <row r="1877" spans="21:24" x14ac:dyDescent="0.25">
      <c r="U1877" s="9"/>
      <c r="X1877" s="9"/>
    </row>
    <row r="1878" spans="21:24" x14ac:dyDescent="0.25">
      <c r="U1878" s="9"/>
      <c r="X1878" s="9"/>
    </row>
    <row r="1879" spans="21:24" x14ac:dyDescent="0.25">
      <c r="U1879" s="9"/>
      <c r="X1879" s="9"/>
    </row>
    <row r="1880" spans="21:24" x14ac:dyDescent="0.25">
      <c r="U1880" s="9"/>
      <c r="X1880" s="9"/>
    </row>
    <row r="1881" spans="21:24" x14ac:dyDescent="0.25">
      <c r="U1881" s="9"/>
      <c r="X1881" s="9"/>
    </row>
    <row r="1882" spans="21:24" x14ac:dyDescent="0.25">
      <c r="U1882" s="9"/>
      <c r="X1882" s="9"/>
    </row>
    <row r="1883" spans="21:24" x14ac:dyDescent="0.25">
      <c r="U1883" s="9"/>
      <c r="X1883" s="9"/>
    </row>
    <row r="1884" spans="21:24" x14ac:dyDescent="0.25">
      <c r="U1884" s="9"/>
      <c r="X1884" s="9"/>
    </row>
    <row r="1885" spans="21:24" x14ac:dyDescent="0.25">
      <c r="U1885" s="9"/>
      <c r="X1885" s="9"/>
    </row>
    <row r="1886" spans="21:24" x14ac:dyDescent="0.25">
      <c r="U1886" s="9"/>
      <c r="X1886" s="9"/>
    </row>
    <row r="1887" spans="21:24" x14ac:dyDescent="0.25">
      <c r="U1887" s="9"/>
      <c r="X1887" s="9"/>
    </row>
    <row r="1888" spans="21:24" x14ac:dyDescent="0.25">
      <c r="U1888" s="9"/>
      <c r="X1888" s="9"/>
    </row>
    <row r="1889" spans="21:24" x14ac:dyDescent="0.25">
      <c r="U1889" s="9"/>
      <c r="X1889" s="9"/>
    </row>
    <row r="1890" spans="21:24" x14ac:dyDescent="0.25">
      <c r="U1890" s="9"/>
      <c r="X1890" s="9"/>
    </row>
    <row r="1891" spans="21:24" x14ac:dyDescent="0.25">
      <c r="U1891" s="9"/>
      <c r="X1891" s="9"/>
    </row>
    <row r="1892" spans="21:24" x14ac:dyDescent="0.25">
      <c r="X1892" s="9"/>
    </row>
    <row r="1893" spans="21:24" x14ac:dyDescent="0.25">
      <c r="X1893" s="9"/>
    </row>
    <row r="1894" spans="21:24" x14ac:dyDescent="0.25">
      <c r="X1894" s="9"/>
    </row>
    <row r="1895" spans="21:24" x14ac:dyDescent="0.25">
      <c r="X1895" s="9"/>
    </row>
    <row r="1896" spans="21:24" x14ac:dyDescent="0.25">
      <c r="X1896" s="9"/>
    </row>
    <row r="1897" spans="21:24" x14ac:dyDescent="0.25">
      <c r="X1897" s="9"/>
    </row>
    <row r="1898" spans="21:24" x14ac:dyDescent="0.25">
      <c r="X1898" s="9"/>
    </row>
    <row r="1899" spans="21:24" x14ac:dyDescent="0.25">
      <c r="X1899" s="9"/>
    </row>
    <row r="1900" spans="21:24" x14ac:dyDescent="0.25">
      <c r="X1900" s="9"/>
    </row>
    <row r="1901" spans="21:24" x14ac:dyDescent="0.25">
      <c r="X1901" s="9"/>
    </row>
    <row r="1902" spans="21:24" x14ac:dyDescent="0.25">
      <c r="X1902" s="9"/>
    </row>
    <row r="1903" spans="21:24" x14ac:dyDescent="0.25">
      <c r="X1903" s="9"/>
    </row>
    <row r="1904" spans="21:24" x14ac:dyDescent="0.25">
      <c r="X1904" s="9"/>
    </row>
    <row r="1905" spans="24:24" x14ac:dyDescent="0.25">
      <c r="X1905" s="9"/>
    </row>
    <row r="1906" spans="24:24" x14ac:dyDescent="0.25">
      <c r="X1906" s="9"/>
    </row>
    <row r="1907" spans="24:24" x14ac:dyDescent="0.25">
      <c r="X1907" s="9"/>
    </row>
    <row r="1908" spans="24:24" x14ac:dyDescent="0.25">
      <c r="X1908" s="9"/>
    </row>
    <row r="1909" spans="24:24" x14ac:dyDescent="0.25">
      <c r="X1909" s="9"/>
    </row>
    <row r="1910" spans="24:24" x14ac:dyDescent="0.25">
      <c r="X1910" s="9"/>
    </row>
    <row r="1911" spans="24:24" x14ac:dyDescent="0.25">
      <c r="X1911" s="9"/>
    </row>
    <row r="1912" spans="24:24" x14ac:dyDescent="0.25">
      <c r="X1912" s="9"/>
    </row>
    <row r="1913" spans="24:24" x14ac:dyDescent="0.25">
      <c r="X1913" s="9"/>
    </row>
    <row r="1914" spans="24:24" x14ac:dyDescent="0.25">
      <c r="X1914" s="9"/>
    </row>
    <row r="1915" spans="24:24" x14ac:dyDescent="0.25">
      <c r="X1915" s="9"/>
    </row>
    <row r="1916" spans="24:24" x14ac:dyDescent="0.25">
      <c r="X1916" s="9"/>
    </row>
    <row r="1917" spans="24:24" x14ac:dyDescent="0.25">
      <c r="X1917" s="9"/>
    </row>
    <row r="1918" spans="24:24" x14ac:dyDescent="0.25">
      <c r="X1918" s="9"/>
    </row>
    <row r="1919" spans="24:24" x14ac:dyDescent="0.25">
      <c r="X1919" s="9"/>
    </row>
    <row r="1920" spans="24:24" x14ac:dyDescent="0.25">
      <c r="X1920" s="9"/>
    </row>
    <row r="1921" spans="24:24" x14ac:dyDescent="0.25">
      <c r="X1921" s="9"/>
    </row>
    <row r="1922" spans="24:24" x14ac:dyDescent="0.25">
      <c r="X1922" s="9"/>
    </row>
    <row r="1923" spans="24:24" x14ac:dyDescent="0.25">
      <c r="X1923" s="9"/>
    </row>
    <row r="1924" spans="24:24" x14ac:dyDescent="0.25">
      <c r="X1924" s="9"/>
    </row>
    <row r="1925" spans="24:24" x14ac:dyDescent="0.25">
      <c r="X1925" s="9"/>
    </row>
    <row r="1926" spans="24:24" x14ac:dyDescent="0.25">
      <c r="X1926" s="9"/>
    </row>
    <row r="1927" spans="24:24" x14ac:dyDescent="0.25">
      <c r="X1927" s="9"/>
    </row>
    <row r="1928" spans="24:24" x14ac:dyDescent="0.25">
      <c r="X1928" s="9"/>
    </row>
    <row r="1929" spans="24:24" x14ac:dyDescent="0.25">
      <c r="X1929" s="9"/>
    </row>
    <row r="1930" spans="24:24" x14ac:dyDescent="0.25">
      <c r="X1930" s="9"/>
    </row>
    <row r="1931" spans="24:24" x14ac:dyDescent="0.25">
      <c r="X1931" s="9"/>
    </row>
    <row r="1932" spans="24:24" x14ac:dyDescent="0.25">
      <c r="X1932" s="9"/>
    </row>
    <row r="1933" spans="24:24" x14ac:dyDescent="0.25">
      <c r="X1933" s="9"/>
    </row>
    <row r="1934" spans="24:24" x14ac:dyDescent="0.25">
      <c r="X1934" s="9"/>
    </row>
    <row r="1935" spans="24:24" x14ac:dyDescent="0.25">
      <c r="X1935" s="9"/>
    </row>
    <row r="1936" spans="24:24" x14ac:dyDescent="0.25">
      <c r="X1936" s="9"/>
    </row>
    <row r="1937" spans="24:24" x14ac:dyDescent="0.25">
      <c r="X1937" s="9"/>
    </row>
    <row r="1938" spans="24:24" x14ac:dyDescent="0.25">
      <c r="X1938" s="9"/>
    </row>
    <row r="1939" spans="24:24" x14ac:dyDescent="0.25">
      <c r="X1939" s="9"/>
    </row>
    <row r="1940" spans="24:24" x14ac:dyDescent="0.25">
      <c r="X1940" s="9"/>
    </row>
    <row r="1941" spans="24:24" x14ac:dyDescent="0.25">
      <c r="X1941" s="9"/>
    </row>
    <row r="1942" spans="24:24" x14ac:dyDescent="0.25">
      <c r="X1942" s="9"/>
    </row>
    <row r="1943" spans="24:24" x14ac:dyDescent="0.25">
      <c r="X1943" s="9"/>
    </row>
    <row r="1944" spans="24:24" x14ac:dyDescent="0.25">
      <c r="X1944" s="9"/>
    </row>
    <row r="1945" spans="24:24" x14ac:dyDescent="0.25">
      <c r="X1945" s="9"/>
    </row>
    <row r="1946" spans="24:24" x14ac:dyDescent="0.25">
      <c r="X1946" s="9"/>
    </row>
    <row r="1947" spans="24:24" x14ac:dyDescent="0.25">
      <c r="X1947" s="9"/>
    </row>
    <row r="1948" spans="24:24" x14ac:dyDescent="0.25">
      <c r="X1948" s="9"/>
    </row>
    <row r="1949" spans="24:24" x14ac:dyDescent="0.25">
      <c r="X1949" s="9"/>
    </row>
    <row r="1950" spans="24:24" x14ac:dyDescent="0.25">
      <c r="X1950" s="9"/>
    </row>
    <row r="1951" spans="24:24" x14ac:dyDescent="0.25">
      <c r="X1951" s="9"/>
    </row>
    <row r="1952" spans="24:24" x14ac:dyDescent="0.25">
      <c r="X1952" s="9"/>
    </row>
    <row r="1953" spans="24:24" x14ac:dyDescent="0.25">
      <c r="X1953" s="9"/>
    </row>
    <row r="1954" spans="24:24" x14ac:dyDescent="0.25">
      <c r="X1954" s="9"/>
    </row>
    <row r="1955" spans="24:24" x14ac:dyDescent="0.25">
      <c r="X1955" s="9"/>
    </row>
    <row r="1956" spans="24:24" x14ac:dyDescent="0.25">
      <c r="X1956" s="9"/>
    </row>
    <row r="1957" spans="24:24" x14ac:dyDescent="0.25">
      <c r="X1957" s="9"/>
    </row>
    <row r="1958" spans="24:24" x14ac:dyDescent="0.25">
      <c r="X1958" s="9"/>
    </row>
    <row r="1959" spans="24:24" x14ac:dyDescent="0.25">
      <c r="X1959" s="9"/>
    </row>
    <row r="1960" spans="24:24" x14ac:dyDescent="0.25">
      <c r="X1960" s="9"/>
    </row>
    <row r="1961" spans="24:24" x14ac:dyDescent="0.25">
      <c r="X1961" s="9"/>
    </row>
    <row r="1962" spans="24:24" x14ac:dyDescent="0.25">
      <c r="X1962" s="9"/>
    </row>
    <row r="1963" spans="24:24" x14ac:dyDescent="0.25">
      <c r="X1963" s="9"/>
    </row>
    <row r="1964" spans="24:24" x14ac:dyDescent="0.25">
      <c r="X1964" s="9"/>
    </row>
    <row r="1965" spans="24:24" x14ac:dyDescent="0.25">
      <c r="X1965" s="9"/>
    </row>
    <row r="1966" spans="24:24" x14ac:dyDescent="0.25">
      <c r="X1966" s="9"/>
    </row>
    <row r="1967" spans="24:24" x14ac:dyDescent="0.25">
      <c r="X1967" s="9"/>
    </row>
    <row r="1968" spans="24:24" x14ac:dyDescent="0.25">
      <c r="X1968" s="9"/>
    </row>
    <row r="1969" spans="24:24" x14ac:dyDescent="0.25">
      <c r="X1969" s="9"/>
    </row>
  </sheetData>
  <conditionalFormatting sqref="AD1645:AD1048576 AA1248:AA1048576 X1970:X1048576 AJ2:AJ1048576 AG2:AG1048576">
    <cfRule type="expression" dxfId="135" priority="110">
      <formula>COUNTIF(X2,"*Draft*")</formula>
    </cfRule>
    <cfRule type="expression" dxfId="134" priority="111">
      <formula>COUNTIF(X2,"*TRA*")</formula>
    </cfRule>
    <cfRule type="expression" dxfId="133" priority="112">
      <formula>COUNTIF(X2,"*RTV*")</formula>
    </cfRule>
    <cfRule type="expression" dxfId="132" priority="113">
      <formula>COUNTIF(X2,"*Verified*")</formula>
    </cfRule>
    <cfRule type="expression" dxfId="131" priority="114">
      <formula>COUNTIF(X2,"*Authorised")</formula>
    </cfRule>
    <cfRule type="expression" dxfId="130" priority="115">
      <formula>COUNTIF(X2,"*Closed*")</formula>
    </cfRule>
    <cfRule type="expression" dxfId="129" priority="120">
      <formula>COUNTIF(X2,"*Suspended*")</formula>
    </cfRule>
  </conditionalFormatting>
  <conditionalFormatting sqref="Q1:Q146 Y1645:AU1969 V161:V1891 W161:W1969 A1892:V1048576 W1970:AU1048576 A154:U1891 V154:AU1644 A2:AU153">
    <cfRule type="expression" dxfId="128" priority="24">
      <formula>NOT(COUNTIF($C1,"TK*"))</formula>
    </cfRule>
  </conditionalFormatting>
  <conditionalFormatting sqref="A1:XFD1048576">
    <cfRule type="expression" priority="23" stopIfTrue="1">
      <formula>ISBLANK($C1)=TRUE</formula>
    </cfRule>
  </conditionalFormatting>
  <conditionalFormatting sqref="R2:R1048576">
    <cfRule type="expression" dxfId="127" priority="75">
      <formula>COUNTIF(R2,"*Y*")</formula>
    </cfRule>
  </conditionalFormatting>
  <conditionalFormatting sqref="Q1:Q1048576">
    <cfRule type="expression" dxfId="126" priority="74">
      <formula>COUNTIF(Q1,"*Y*")</formula>
    </cfRule>
  </conditionalFormatting>
  <conditionalFormatting sqref="AV147:XFD1048576">
    <cfRule type="expression" priority="3173" stopIfTrue="1">
      <formula>ISBLANK($B151)=TRUE</formula>
    </cfRule>
  </conditionalFormatting>
  <conditionalFormatting sqref="X412:X1969 U2:U1891">
    <cfRule type="expression" dxfId="125" priority="58">
      <formula>COUNTIF(V2,"*2*")</formula>
    </cfRule>
    <cfRule type="expression" dxfId="124" priority="59">
      <formula>U2=""</formula>
    </cfRule>
    <cfRule type="expression" dxfId="123" priority="60">
      <formula>COUNTIF(U2,"*Draft*")</formula>
    </cfRule>
    <cfRule type="expression" dxfId="122" priority="61">
      <formula>COUNTIF(U2,"*TRA*")</formula>
    </cfRule>
    <cfRule type="expression" dxfId="121" priority="62">
      <formula>COUNTIF(U2,"*RTV*")</formula>
    </cfRule>
    <cfRule type="expression" dxfId="120" priority="63">
      <formula>COUNTIF(U2,"*Verified*")</formula>
    </cfRule>
    <cfRule type="expression" dxfId="119" priority="64">
      <formula>COUNTIF(U2,"*Authorised")</formula>
    </cfRule>
    <cfRule type="expression" dxfId="118" priority="65">
      <formula>COUNTIF(U2,"*Closed*")</formula>
    </cfRule>
    <cfRule type="expression" dxfId="117" priority="71">
      <formula>COUNTIF(U2,"*Suspended*")</formula>
    </cfRule>
  </conditionalFormatting>
  <conditionalFormatting sqref="X412:X1969">
    <cfRule type="expression" dxfId="116" priority="56">
      <formula>NOT(COUNTIF($C412,"TK*"))</formula>
    </cfRule>
  </conditionalFormatting>
  <conditionalFormatting sqref="X412:X1969">
    <cfRule type="expression" priority="55" stopIfTrue="1">
      <formula>ISBLANK($C412)=TRUE</formula>
    </cfRule>
  </conditionalFormatting>
  <conditionalFormatting sqref="X2:X411">
    <cfRule type="expression" dxfId="115" priority="57">
      <formula>COUNTIF(X2,"*Suspended*")</formula>
    </cfRule>
  </conditionalFormatting>
  <conditionalFormatting sqref="X2:X411">
    <cfRule type="expression" dxfId="114" priority="35">
      <formula>COUNTIF(Y2,"*2*")</formula>
    </cfRule>
    <cfRule type="expression" dxfId="113" priority="36">
      <formula>COUNTIF(X2,"*Draft*")</formula>
    </cfRule>
    <cfRule type="expression" dxfId="112" priority="37">
      <formula>COUNTIF(X2,"*TRA*")</formula>
    </cfRule>
    <cfRule type="expression" dxfId="111" priority="38">
      <formula>COUNTIF(X2,"*RTV*")</formula>
    </cfRule>
    <cfRule type="expression" dxfId="110" priority="39">
      <formula>COUNTIF(X2,"*Verified*")</formula>
    </cfRule>
    <cfRule type="expression" dxfId="109" priority="40">
      <formula>COUNTIF(X2,"*Authorised")</formula>
    </cfRule>
    <cfRule type="expression" dxfId="108" priority="54">
      <formula>COUNTIF(X2,"*Closed*")</formula>
    </cfRule>
  </conditionalFormatting>
  <conditionalFormatting sqref="AA2:AA1247 AD2:AD1644">
    <cfRule type="expression" dxfId="107" priority="25">
      <formula>COUNTIF(AB2,"*2*")</formula>
    </cfRule>
    <cfRule type="expression" dxfId="106" priority="26">
      <formula>COUNTIF(AA2,"*Draft*")</formula>
    </cfRule>
    <cfRule type="expression" dxfId="105" priority="27">
      <formula>COUNTIF(AA2,"*TRA*")</formula>
    </cfRule>
    <cfRule type="expression" dxfId="104" priority="28">
      <formula>COUNTIF(AA2,"*RTV*")</formula>
    </cfRule>
    <cfRule type="expression" dxfId="103" priority="29">
      <formula>COUNTIF(AA2,"*Verified*")</formula>
    </cfRule>
    <cfRule type="expression" dxfId="102" priority="30">
      <formula>COUNTIF(AA2,"*Authorised")</formula>
    </cfRule>
    <cfRule type="expression" dxfId="101" priority="33">
      <formula>COUNTIF(AA2,"*Closed*")</formula>
    </cfRule>
    <cfRule type="expression" dxfId="100" priority="34">
      <formula>COUNTIF(AA2,"*Suspended*")</formula>
    </cfRule>
  </conditionalFormatting>
  <conditionalFormatting sqref="AV148:XFD150">
    <cfRule type="expression" priority="3383" stopIfTrue="1">
      <formula>ISBLANK(#REF!)=TRUE</formula>
    </cfRule>
  </conditionalFormatting>
  <conditionalFormatting sqref="AV151:XFD1048576">
    <cfRule type="expression" priority="3499" stopIfTrue="1">
      <formula>ISBLANK($B153)=TRUE</formula>
    </cfRule>
  </conditionalFormatting>
  <conditionalFormatting sqref="A2:AU1048576">
    <cfRule type="expression" dxfId="99" priority="1">
      <formula>AND(DATEVALUE($C$2)&lt;=DATEVALUE($C2)-14,DATEVALUE($C2)-14&lt;=DATEVALUE($C$2))</formula>
    </cfRule>
  </conditionalFormatting>
  <pageMargins left="0" right="0" top="0" bottom="0" header="0" footer="0"/>
  <pageSetup paperSize="17" scale="57" fitToHeight="0" orientation="landscape" verticalDpi="0" r:id="rId1"/>
  <colBreaks count="1" manualBreakCount="1">
    <brk id="47" max="159" man="1"/>
  </colBreak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06FF5A-9A1D-4DC8-8319-49C76D7A53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Flex</vt:lpstr>
      <vt:lpstr>Pipe</vt:lpstr>
      <vt:lpstr>Flex!Print_Area</vt:lpstr>
      <vt:lpstr>Pipe!Print_Area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Freddyyeddy;Samuel.Bordelon@bp.com</dc:creator>
  <cp:lastModifiedBy>Bordelon, Samuel Adam (CH2M)</cp:lastModifiedBy>
  <cp:revision/>
  <cp:lastPrinted>2019-01-17T01:10:23Z</cp:lastPrinted>
  <dcterms:created xsi:type="dcterms:W3CDTF">2018-06-22T20:57:28Z</dcterms:created>
  <dcterms:modified xsi:type="dcterms:W3CDTF">2019-01-17T01:10:36Z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69bf4a9-87bd-4dbf-a36c-1db5158e5def_Enabled">
    <vt:lpwstr>True</vt:lpwstr>
  </property>
  <property fmtid="{D5CDD505-2E9C-101B-9397-08002B2CF9AE}" pid="3" name="MSIP_Label_569bf4a9-87bd-4dbf-a36c-1db5158e5def_SiteId">
    <vt:lpwstr>ea80952e-a476-42d4-aaf4-5457852b0f7e</vt:lpwstr>
  </property>
  <property fmtid="{D5CDD505-2E9C-101B-9397-08002B2CF9AE}" pid="4" name="MSIP_Label_569bf4a9-87bd-4dbf-a36c-1db5158e5def_Owner">
    <vt:lpwstr>Samuel.Bordelon@bp.com</vt:lpwstr>
  </property>
  <property fmtid="{D5CDD505-2E9C-101B-9397-08002B2CF9AE}" pid="5" name="MSIP_Label_569bf4a9-87bd-4dbf-a36c-1db5158e5def_SetDate">
    <vt:lpwstr>2019-01-11T01:36:59.6369770Z</vt:lpwstr>
  </property>
  <property fmtid="{D5CDD505-2E9C-101B-9397-08002B2CF9AE}" pid="6" name="MSIP_Label_569bf4a9-87bd-4dbf-a36c-1db5158e5def_Name">
    <vt:lpwstr>General</vt:lpwstr>
  </property>
  <property fmtid="{D5CDD505-2E9C-101B-9397-08002B2CF9AE}" pid="7" name="MSIP_Label_569bf4a9-87bd-4dbf-a36c-1db5158e5def_Application">
    <vt:lpwstr>Microsoft Azure Information Protection</vt:lpwstr>
  </property>
  <property fmtid="{D5CDD505-2E9C-101B-9397-08002B2CF9AE}" pid="8" name="MSIP_Label_569bf4a9-87bd-4dbf-a36c-1db5158e5def_Extended_MSFT_Method">
    <vt:lpwstr>Manual</vt:lpwstr>
  </property>
  <property fmtid="{D5CDD505-2E9C-101B-9397-08002B2CF9AE}" pid="9" name="Sensitivity">
    <vt:lpwstr>General</vt:lpwstr>
  </property>
</Properties>
</file>